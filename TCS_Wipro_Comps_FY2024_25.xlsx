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s Table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ost Bridge" sheetId="4" state="visible" r:id="rId4"/>
    <sheet xmlns:r="http://schemas.openxmlformats.org/officeDocument/2006/relationships" name="Margins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Operational KPIs" sheetId="9" state="visible" r:id="rId9"/>
    <sheet xmlns:r="http://schemas.openxmlformats.org/officeDocument/2006/relationships" name="Peer Benchmar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0"/>
    <numFmt numFmtId="166" formatCode="0.0&quot;x&quot;"/>
    <numFmt numFmtId="167" formatCode="+#,##0;-#,##0;&quot;-&quot;"/>
    <numFmt numFmtId="168" formatCode="+0;-0;&quot;-&quot;"/>
    <numFmt numFmtId="169" formatCode="₹#,##0"/>
  </numFmts>
  <fonts count="30">
    <font>
      <name val="Calibri"/>
      <family val="2"/>
      <color theme="1"/>
      <sz val="11"/>
      <scheme val="minor"/>
    </font>
    <font>
      <name val="Calibri"/>
      <b val="1"/>
      <color rgb="00FFFFFF"/>
      <sz val="38"/>
    </font>
    <font>
      <name val="Calibri"/>
      <b val="1"/>
      <color rgb="00AACCEE"/>
      <sz val="16"/>
    </font>
    <font>
      <name val="Calibri"/>
      <b val="1"/>
      <color rgb="00C8922A"/>
      <sz val="13"/>
    </font>
    <font>
      <name val="Calibri"/>
      <b val="1"/>
      <color rgb="001C3D5A"/>
      <sz val="10"/>
    </font>
    <font>
      <name val="Calibri"/>
      <color rgb="00333333"/>
      <sz val="9"/>
    </font>
    <font>
      <name val="Calibri"/>
      <b val="1"/>
      <color rgb="00FFFFFF"/>
      <sz val="11"/>
    </font>
    <font>
      <name val="Calibri"/>
      <b val="1"/>
      <color rgb="001C3D5A"/>
      <sz val="9"/>
    </font>
    <font>
      <name val="Calibri"/>
      <i val="1"/>
      <color rgb="00555555"/>
      <sz val="9"/>
    </font>
    <font>
      <name val="Calibri"/>
      <b val="1"/>
      <color rgb="00FFFFFF"/>
      <sz val="16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0000FF"/>
      <sz val="9"/>
    </font>
    <font>
      <name val="Calibri"/>
      <b val="1"/>
      <color rgb="00000000"/>
      <sz val="9"/>
    </font>
    <font>
      <name val="Calibri"/>
      <color rgb="00444444"/>
      <sz val="9"/>
    </font>
    <font>
      <name val="Calibri"/>
      <color rgb="00999999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i val="1"/>
      <color rgb="00666666"/>
      <sz val="8"/>
    </font>
    <font>
      <name val="Calibri"/>
      <b val="1"/>
      <color rgb="001A5C2A"/>
      <sz val="9"/>
    </font>
    <font>
      <name val="Calibri"/>
      <i val="1"/>
      <color rgb="00555555"/>
      <sz val="8"/>
    </font>
    <font>
      <name val="Calibri"/>
      <color rgb="001A5C2A"/>
      <sz val="9"/>
    </font>
    <font>
      <name val="Calibri"/>
      <color rgb="008B1A1A"/>
      <sz val="9"/>
    </font>
    <font>
      <name val="Calibri"/>
      <b val="1"/>
      <color rgb="008B1A1A"/>
      <sz val="9"/>
    </font>
    <font>
      <name val="Calibri"/>
      <b val="1"/>
      <color rgb="00888888"/>
      <sz val="9"/>
    </font>
    <font>
      <name val="Calibri"/>
      <color rgb="00888888"/>
      <sz val="9"/>
    </font>
    <font>
      <name val="Calibri"/>
      <i val="1"/>
      <color rgb="00444444"/>
      <sz val="8"/>
    </font>
    <font>
      <name val="Calibri"/>
      <b val="1"/>
      <color rgb="002E6DA4"/>
      <sz val="9"/>
    </font>
    <font>
      <name val="Calibri"/>
      <b val="1"/>
      <color rgb="00C8922A"/>
      <sz val="9"/>
    </font>
    <font>
      <name val="Calibri"/>
      <color rgb="001C3D5A"/>
      <sz val="9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D6E8FA"/>
      </patternFill>
    </fill>
    <fill>
      <patternFill patternType="solid">
        <fgColor rgb="00FFFFFF"/>
      </patternFill>
    </fill>
    <fill>
      <patternFill patternType="solid">
        <fgColor rgb="001C3D5A"/>
      </patternFill>
    </fill>
    <fill>
      <patternFill patternType="solid">
        <fgColor rgb="00F4F4F4"/>
      </patternFill>
    </fill>
    <fill>
      <patternFill patternType="solid">
        <fgColor rgb="002E6DA4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DDEDE"/>
      </patternFill>
    </fill>
    <fill>
      <patternFill patternType="solid">
        <fgColor rgb="00C8922A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0" fillId="0" borderId="5" pivotButton="0" quotePrefix="0" xfId="0"/>
    <xf numFmtId="0" fontId="10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3" fontId="12" fillId="8" borderId="1" applyAlignment="1" pivotButton="0" quotePrefix="0" xfId="0">
      <alignment horizontal="right" vertical="center"/>
    </xf>
    <xf numFmtId="3" fontId="13" fillId="9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164" fontId="16" fillId="9" borderId="1" applyAlignment="1" pivotButton="0" quotePrefix="0" xfId="0">
      <alignment horizontal="right" vertical="center"/>
    </xf>
    <xf numFmtId="164" fontId="17" fillId="4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3" fontId="17" fillId="6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center" vertical="center"/>
    </xf>
    <xf numFmtId="164" fontId="17" fillId="6" borderId="1" applyAlignment="1" pivotButton="0" quotePrefix="0" xfId="0">
      <alignment horizontal="right" vertical="center"/>
    </xf>
    <xf numFmtId="164" fontId="12" fillId="8" borderId="1" applyAlignment="1" pivotButton="0" quotePrefix="0" xfId="0">
      <alignment horizontal="right" vertical="center"/>
    </xf>
    <xf numFmtId="164" fontId="13" fillId="9" borderId="1" applyAlignment="1" pivotButton="0" quotePrefix="0" xfId="0">
      <alignment horizontal="right" vertical="center"/>
    </xf>
    <xf numFmtId="165" fontId="17" fillId="4" borderId="1" applyAlignment="1" pivotButton="0" quotePrefix="0" xfId="0">
      <alignment horizontal="right" vertical="center"/>
    </xf>
    <xf numFmtId="165" fontId="16" fillId="9" borderId="1" applyAlignment="1" pivotButton="0" quotePrefix="0" xfId="0">
      <alignment horizontal="right" vertical="center"/>
    </xf>
    <xf numFmtId="165" fontId="17" fillId="6" borderId="1" applyAlignment="1" pivotButton="0" quotePrefix="0" xfId="0">
      <alignment horizontal="right" vertical="center"/>
    </xf>
    <xf numFmtId="166" fontId="17" fillId="4" borderId="1" applyAlignment="1" pivotButton="0" quotePrefix="0" xfId="0">
      <alignment horizontal="right" vertical="center"/>
    </xf>
    <xf numFmtId="166" fontId="16" fillId="9" borderId="1" applyAlignment="1" pivotButton="0" quotePrefix="0" xfId="0">
      <alignment horizontal="right" vertical="center"/>
    </xf>
    <xf numFmtId="166" fontId="12" fillId="8" borderId="1" applyAlignment="1" pivotButton="0" quotePrefix="0" xfId="0">
      <alignment horizontal="right" vertical="center"/>
    </xf>
    <xf numFmtId="166" fontId="13" fillId="9" borderId="1" applyAlignment="1" pivotButton="0" quotePrefix="0" xfId="0">
      <alignment horizontal="right" vertical="center"/>
    </xf>
    <xf numFmtId="3" fontId="17" fillId="4" borderId="1" applyAlignment="1" pivotButton="0" quotePrefix="0" xfId="0">
      <alignment horizontal="right" vertical="center"/>
    </xf>
    <xf numFmtId="3" fontId="16" fillId="9" borderId="1" applyAlignment="1" pivotButton="0" quotePrefix="0" xfId="0">
      <alignment horizontal="right" vertical="center"/>
    </xf>
    <xf numFmtId="165" fontId="12" fillId="8" borderId="1" applyAlignment="1" pivotButton="0" quotePrefix="0" xfId="0">
      <alignment horizontal="right" vertical="center"/>
    </xf>
    <xf numFmtId="165" fontId="13" fillId="9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 wrapText="1"/>
    </xf>
    <xf numFmtId="167" fontId="19" fillId="8" borderId="1" applyAlignment="1" pivotButton="0" quotePrefix="0" xfId="0">
      <alignment horizontal="right" vertical="center"/>
    </xf>
    <xf numFmtId="164" fontId="19" fillId="8" borderId="1" applyAlignment="1" pivotButton="0" quotePrefix="0" xfId="0">
      <alignment horizontal="right" vertical="center"/>
    </xf>
    <xf numFmtId="0" fontId="20" fillId="8" borderId="1" applyAlignment="1" pivotButton="0" quotePrefix="0" xfId="0">
      <alignment horizontal="left" vertical="center"/>
    </xf>
    <xf numFmtId="167" fontId="21" fillId="4" borderId="1" applyAlignment="1" pivotButton="0" quotePrefix="0" xfId="0">
      <alignment horizontal="right" vertical="center"/>
    </xf>
    <xf numFmtId="164" fontId="21" fillId="4" borderId="1" applyAlignment="1" pivotButton="0" quotePrefix="0" xfId="0">
      <alignment horizontal="right" vertical="center"/>
    </xf>
    <xf numFmtId="0" fontId="20" fillId="4" borderId="1" applyAlignment="1" pivotButton="0" quotePrefix="0" xfId="0">
      <alignment horizontal="left" vertical="center"/>
    </xf>
    <xf numFmtId="167" fontId="22" fillId="6" borderId="1" applyAlignment="1" pivotButton="0" quotePrefix="0" xfId="0">
      <alignment horizontal="right" vertical="center"/>
    </xf>
    <xf numFmtId="164" fontId="22" fillId="6" borderId="1" applyAlignment="1" pivotButton="0" quotePrefix="0" xfId="0">
      <alignment horizontal="right" vertical="center"/>
    </xf>
    <xf numFmtId="0" fontId="20" fillId="6" borderId="1" applyAlignment="1" pivotButton="0" quotePrefix="0" xfId="0">
      <alignment horizontal="left" vertical="center"/>
    </xf>
    <xf numFmtId="167" fontId="21" fillId="6" borderId="1" applyAlignment="1" pivotButton="0" quotePrefix="0" xfId="0">
      <alignment horizontal="right" vertical="center"/>
    </xf>
    <xf numFmtId="164" fontId="21" fillId="6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3" fontId="12" fillId="3" borderId="1" applyAlignment="1" pivotButton="0" quotePrefix="0" xfId="0">
      <alignment horizontal="right" vertical="center"/>
    </xf>
    <xf numFmtId="167" fontId="19" fillId="3" borderId="1" applyAlignment="1" pivotButton="0" quotePrefix="0" xfId="0">
      <alignment horizontal="right" vertical="center"/>
    </xf>
    <xf numFmtId="164" fontId="19" fillId="3" borderId="1" applyAlignment="1" pivotButton="0" quotePrefix="0" xfId="0">
      <alignment horizontal="right" vertical="center"/>
    </xf>
    <xf numFmtId="0" fontId="20" fillId="3" borderId="1" applyAlignment="1" pivotButton="0" quotePrefix="0" xfId="0">
      <alignment horizontal="left" vertical="center"/>
    </xf>
    <xf numFmtId="167" fontId="23" fillId="8" borderId="1" applyAlignment="1" pivotButton="0" quotePrefix="0" xfId="0">
      <alignment horizontal="right" vertical="center"/>
    </xf>
    <xf numFmtId="164" fontId="23" fillId="8" borderId="1" applyAlignment="1" pivotButton="0" quotePrefix="0" xfId="0">
      <alignment horizontal="right" vertical="center"/>
    </xf>
    <xf numFmtId="167" fontId="22" fillId="4" borderId="1" applyAlignment="1" pivotButton="0" quotePrefix="0" xfId="0">
      <alignment horizontal="right" vertical="center"/>
    </xf>
    <xf numFmtId="164" fontId="22" fillId="4" borderId="1" applyAlignment="1" pivotButton="0" quotePrefix="0" xfId="0">
      <alignment horizontal="right" vertical="center"/>
    </xf>
    <xf numFmtId="167" fontId="23" fillId="3" borderId="1" applyAlignment="1" pivotButton="0" quotePrefix="0" xfId="0">
      <alignment horizontal="right" vertical="center"/>
    </xf>
    <xf numFmtId="164" fontId="23" fillId="3" borderId="1" applyAlignment="1" pivotButton="0" quotePrefix="0" xfId="0">
      <alignment horizontal="right" vertical="center"/>
    </xf>
    <xf numFmtId="164" fontId="12" fillId="3" borderId="1" applyAlignment="1" pivotButton="0" quotePrefix="0" xfId="0">
      <alignment horizontal="right" vertical="center"/>
    </xf>
    <xf numFmtId="0" fontId="15" fillId="3" borderId="1" applyAlignment="1" pivotButton="0" quotePrefix="0" xfId="0">
      <alignment horizontal="center" vertical="center"/>
    </xf>
    <xf numFmtId="168" fontId="24" fillId="8" borderId="1" applyAlignment="1" pivotButton="0" quotePrefix="0" xfId="0">
      <alignment horizontal="right" vertical="center"/>
    </xf>
    <xf numFmtId="168" fontId="19" fillId="9" borderId="1" applyAlignment="1" pivotButton="0" quotePrefix="0" xfId="0">
      <alignment horizontal="right" vertical="center"/>
    </xf>
    <xf numFmtId="168" fontId="21" fillId="9" borderId="1" applyAlignment="1" pivotButton="0" quotePrefix="0" xfId="0">
      <alignment horizontal="right" vertical="center"/>
    </xf>
    <xf numFmtId="168" fontId="22" fillId="10" borderId="1" applyAlignment="1" pivotButton="0" quotePrefix="0" xfId="0">
      <alignment horizontal="right" vertical="center"/>
    </xf>
    <xf numFmtId="168" fontId="25" fillId="6" borderId="1" applyAlignment="1" pivotButton="0" quotePrefix="0" xfId="0">
      <alignment horizontal="right" vertical="center"/>
    </xf>
    <xf numFmtId="168" fontId="23" fillId="10" borderId="1" applyAlignment="1" pivotButton="0" quotePrefix="0" xfId="0">
      <alignment horizontal="right" vertical="center"/>
    </xf>
    <xf numFmtId="167" fontId="16" fillId="8" borderId="1" applyAlignment="1" pivotButton="0" quotePrefix="0" xfId="0">
      <alignment horizontal="right" vertical="center"/>
    </xf>
    <xf numFmtId="0" fontId="26" fillId="8" borderId="1" applyAlignment="1" pivotButton="0" quotePrefix="0" xfId="0">
      <alignment horizontal="left" vertical="center"/>
    </xf>
    <xf numFmtId="167" fontId="16" fillId="4" borderId="1" applyAlignment="1" pivotButton="0" quotePrefix="0" xfId="0">
      <alignment horizontal="right" vertical="center"/>
    </xf>
    <xf numFmtId="0" fontId="26" fillId="4" borderId="1" applyAlignment="1" pivotButton="0" quotePrefix="0" xfId="0">
      <alignment horizontal="left" vertical="center"/>
    </xf>
    <xf numFmtId="0" fontId="26" fillId="6" borderId="1" applyAlignment="1" pivotButton="0" quotePrefix="0" xfId="0">
      <alignment horizontal="left" vertical="center"/>
    </xf>
    <xf numFmtId="167" fontId="16" fillId="6" borderId="1" applyAlignment="1" pivotButton="0" quotePrefix="0" xfId="0">
      <alignment horizontal="right" vertical="center"/>
    </xf>
    <xf numFmtId="0" fontId="27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25" fillId="4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165" fontId="13" fillId="11" borderId="1" applyAlignment="1" pivotButton="0" quotePrefix="0" xfId="0">
      <alignment horizontal="right" vertical="center"/>
    </xf>
    <xf numFmtId="166" fontId="13" fillId="11" borderId="1" applyAlignment="1" pivotButton="0" quotePrefix="0" xfId="0">
      <alignment horizontal="right" vertical="center"/>
    </xf>
    <xf numFmtId="165" fontId="13" fillId="3" borderId="1" applyAlignment="1" pivotButton="0" quotePrefix="0" xfId="0">
      <alignment horizontal="right" vertical="center"/>
    </xf>
    <xf numFmtId="166" fontId="13" fillId="3" borderId="1" applyAlignment="1" pivotButton="0" quotePrefix="0" xfId="0">
      <alignment horizontal="right" vertical="center"/>
    </xf>
    <xf numFmtId="165" fontId="16" fillId="4" borderId="1" applyAlignment="1" pivotButton="0" quotePrefix="0" xfId="0">
      <alignment horizontal="right" vertical="center"/>
    </xf>
    <xf numFmtId="166" fontId="16" fillId="4" borderId="1" applyAlignment="1" pivotButton="0" quotePrefix="0" xfId="0">
      <alignment horizontal="right" vertical="center"/>
    </xf>
    <xf numFmtId="165" fontId="16" fillId="6" borderId="1" applyAlignment="1" pivotButton="0" quotePrefix="0" xfId="0">
      <alignment horizontal="right" vertical="center"/>
    </xf>
    <xf numFmtId="166" fontId="16" fillId="6" borderId="1" applyAlignment="1" pivotButton="0" quotePrefix="0" xfId="0">
      <alignment horizontal="right" vertical="center"/>
    </xf>
    <xf numFmtId="165" fontId="28" fillId="8" borderId="1" applyAlignment="1" pivotButton="0" quotePrefix="0" xfId="0">
      <alignment horizontal="right" vertical="center"/>
    </xf>
    <xf numFmtId="166" fontId="28" fillId="8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166" fontId="10" fillId="7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169" fontId="29" fillId="10" borderId="1" applyAlignment="1" pivotButton="0" quotePrefix="0" xfId="0">
      <alignment horizontal="right" vertical="center"/>
    </xf>
    <xf numFmtId="169" fontId="10" fillId="11" borderId="1" applyAlignment="1" pivotButton="0" quotePrefix="0" xfId="0">
      <alignment horizontal="right" vertical="center"/>
    </xf>
    <xf numFmtId="169" fontId="29" fillId="3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169" fontId="29" fillId="9" borderId="1" applyAlignment="1" pivotButton="0" quotePrefix="0" xfId="0">
      <alignment horizontal="right" vertical="center"/>
    </xf>
    <xf numFmtId="0" fontId="25" fillId="8" borderId="1" applyAlignment="1" pivotButton="0" quotePrefix="0" xfId="0">
      <alignment horizontal="center" vertical="center"/>
    </xf>
    <xf numFmtId="167" fontId="19" fillId="9" borderId="1" applyAlignment="1" pivotButton="0" quotePrefix="0" xfId="0">
      <alignment horizontal="right" vertical="center"/>
    </xf>
    <xf numFmtId="164" fontId="22" fillId="10" borderId="1" applyAlignment="1" pivotButton="0" quotePrefix="0" xfId="0">
      <alignment horizontal="right" vertical="center"/>
    </xf>
    <xf numFmtId="167" fontId="21" fillId="9" borderId="1" applyAlignment="1" pivotButton="0" quotePrefix="0" xfId="0">
      <alignment horizontal="right" vertical="center"/>
    </xf>
    <xf numFmtId="167" fontId="22" fillId="10" borderId="1" applyAlignment="1" pivotButton="0" quotePrefix="0" xfId="0">
      <alignment horizontal="right" vertical="center"/>
    </xf>
    <xf numFmtId="164" fontId="19" fillId="9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/>
    </xf>
    <xf numFmtId="165" fontId="19" fillId="9" borderId="1" applyAlignment="1" pivotButton="0" quotePrefix="0" xfId="0">
      <alignment horizontal="right" vertical="center"/>
    </xf>
    <xf numFmtId="3" fontId="19" fillId="9" borderId="1" applyAlignment="1" pivotButton="0" quotePrefix="0" xfId="0">
      <alignment horizontal="right" vertical="center"/>
    </xf>
    <xf numFmtId="166" fontId="19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8" customWidth="1" min="3" max="3"/>
    <col width="2" customWidth="1" min="4" max="4"/>
  </cols>
  <sheetData>
    <row r="1" ht="8" customHeight="1"/>
    <row r="2" ht="56" customHeight="1">
      <c r="B2" s="1" t="inlineStr">
        <is>
          <t xml:space="preserve">  TCS vs. WIPRO</t>
        </is>
      </c>
      <c r="C2" s="2" t="n"/>
    </row>
    <row r="3" ht="30" customHeight="1">
      <c r="B3" s="3" t="inlineStr">
        <is>
          <t xml:space="preserve">  COMPARABLE COMPANY ANALYSIS (COMPS)</t>
        </is>
      </c>
      <c r="C3" s="2" t="n"/>
    </row>
    <row r="4" ht="24" customHeight="1">
      <c r="B4" s="4" t="inlineStr">
        <is>
          <t xml:space="preserve">  FY 2024–2025  |  India IT Services</t>
        </is>
      </c>
      <c r="C4" s="2" t="n"/>
    </row>
    <row r="5" ht="8" customHeight="1"/>
    <row r="7" ht="8" customHeight="1"/>
    <row r="9" ht="8" customHeight="1"/>
    <row r="10" ht="22" customHeight="1">
      <c r="B10" s="5" t="inlineStr">
        <is>
          <t>Period Covered</t>
        </is>
      </c>
      <c r="C10" s="6" t="inlineStr">
        <is>
          <t>FY 2024–2025 (April 2024 – March 2025)</t>
        </is>
      </c>
    </row>
    <row r="11" ht="22" customHeight="1">
      <c r="B11" s="7" t="inlineStr">
        <is>
          <t>Prepared By</t>
        </is>
      </c>
      <c r="C11" s="8" t="inlineStr">
        <is>
          <t>Mark Maxwell | MSc Accounting &amp; Business Intelligence, Brunel University</t>
        </is>
      </c>
    </row>
    <row r="12" ht="22" customHeight="1">
      <c r="B12" s="5" t="inlineStr">
        <is>
          <t>Date</t>
        </is>
      </c>
      <c r="C12" s="6" t="inlineStr">
        <is>
          <t>May 2025</t>
        </is>
      </c>
    </row>
    <row r="13" ht="22" customHeight="1">
      <c r="B13" s="7" t="inlineStr">
        <is>
          <t>TCS Source</t>
        </is>
      </c>
      <c r="C13" s="8" t="inlineStr">
        <is>
          <t>TCS IFRS Data Sheet Q2FY26 — USD Mn (actual, unaudited)</t>
        </is>
      </c>
    </row>
    <row r="14" ht="22" customHeight="1">
      <c r="B14" s="5" t="inlineStr">
        <is>
          <t>Wipro Source</t>
        </is>
      </c>
      <c r="C14" s="6" t="inlineStr">
        <is>
          <t>Wipro Enterprises (P) Ltd Annual Report 2024-25 — INR Mn (audited Ind AS)</t>
        </is>
      </c>
    </row>
    <row r="15" ht="22" customHeight="1">
      <c r="B15" s="7" t="inlineStr">
        <is>
          <t>Wipro Ltd IT</t>
        </is>
      </c>
      <c r="C15" s="8" t="inlineStr">
        <is>
          <t>Wipro Limited IT Services — derived from public quarterly results &amp; consensus</t>
        </is>
      </c>
    </row>
    <row r="16" ht="22" customHeight="1">
      <c r="B16" s="5" t="inlineStr">
        <is>
          <t>Currency Note</t>
        </is>
      </c>
      <c r="C16" s="6" t="inlineStr">
        <is>
          <t>TCS: USD Mn  |  Wipro Enterprises: INR Mn  |  Avg FX FY25 ≈ ₹84.6 / USD</t>
        </is>
      </c>
    </row>
    <row r="17" ht="22" customHeight="1">
      <c r="B17" s="7" t="inlineStr">
        <is>
          <t>Disclaimer</t>
        </is>
      </c>
      <c r="C17" s="8" t="inlineStr">
        <is>
          <t>For academic purposes only. Not investment advice.</t>
        </is>
      </c>
    </row>
    <row r="21" ht="8" customHeight="1"/>
    <row r="22" ht="22" customHeight="1">
      <c r="B22" s="9" t="inlineStr">
        <is>
          <t xml:space="preserve">  SHEETS IN THIS WORKBOOK</t>
        </is>
      </c>
      <c r="C22" s="2" t="n"/>
    </row>
    <row r="23" ht="20" customHeight="1">
      <c r="B23" s="10" t="inlineStr">
        <is>
          <t xml:space="preserve">  1 — Cover</t>
        </is>
      </c>
      <c r="C23" s="11" t="inlineStr">
        <is>
          <t>This page</t>
        </is>
      </c>
    </row>
    <row r="24" ht="20" customHeight="1">
      <c r="B24" s="12" t="inlineStr">
        <is>
          <t xml:space="preserve">  2 — Comps Table</t>
        </is>
      </c>
      <c r="C24" s="13" t="inlineStr">
        <is>
          <t>Side-by-side trading comps: income, margins, multiples, KPIs</t>
        </is>
      </c>
    </row>
    <row r="25" ht="20" customHeight="1">
      <c r="B25" s="10" t="inlineStr">
        <is>
          <t xml:space="preserve">  3 — Income Statement</t>
        </is>
      </c>
      <c r="C25" s="11" t="inlineStr">
        <is>
          <t>Full P&amp;L detail: TCS (IFRS, USD Mn) + Wipro Ent. (Ind AS, INR Mn)</t>
        </is>
      </c>
    </row>
    <row r="26" ht="20" customHeight="1">
      <c r="B26" s="12" t="inlineStr">
        <is>
          <t xml:space="preserve">  4 — Cost Bridge</t>
        </is>
      </c>
      <c r="C26" s="13" t="inlineStr">
        <is>
          <t>Cost structure analysis: employee, subcon, facility, D&amp;A, other</t>
        </is>
      </c>
    </row>
    <row r="27" ht="20" customHeight="1">
      <c r="B27" s="10" t="inlineStr">
        <is>
          <t xml:space="preserve">  5 — Margins</t>
        </is>
      </c>
      <c r="C27" s="11" t="inlineStr">
        <is>
          <t>Gross, EBIT, EBITDA, net margin — with YoY change in bps</t>
        </is>
      </c>
    </row>
    <row r="28" ht="20" customHeight="1">
      <c r="B28" s="12" t="inlineStr">
        <is>
          <t xml:space="preserve">  6 — Balance Sheet</t>
        </is>
      </c>
      <c r="C28" s="13" t="inlineStr">
        <is>
          <t>Assets, liabilities, equity — key ratios: ROE, ROA, leverage</t>
        </is>
      </c>
    </row>
    <row r="29" ht="20" customHeight="1">
      <c r="B29" s="10" t="inlineStr">
        <is>
          <t xml:space="preserve">  7 — Cash Flow</t>
        </is>
      </c>
      <c r="C29" s="11" t="inlineStr">
        <is>
          <t>CFO, CFI, CFF, FCF, FCF yield — TCS + Wipro Enterprises</t>
        </is>
      </c>
    </row>
    <row r="30" ht="20" customHeight="1">
      <c r="B30" s="12" t="inlineStr">
        <is>
          <t xml:space="preserve">  8 — Valuation</t>
        </is>
      </c>
      <c r="C30" s="13" t="inlineStr">
        <is>
          <t>Trading multiples, DCF assumptions, EV/EBITDA sensitivity table</t>
        </is>
      </c>
    </row>
    <row r="31" ht="20" customHeight="1">
      <c r="B31" s="10" t="inlineStr">
        <is>
          <t xml:space="preserve">  9 — Operational KPIs</t>
        </is>
      </c>
      <c r="C31" s="11" t="inlineStr">
        <is>
          <t>Headcount, attrition, rev/employee, client metrics, deal TCV</t>
        </is>
      </c>
    </row>
    <row r="32" ht="20" customHeight="1">
      <c r="B32" s="12" t="inlineStr">
        <is>
          <t xml:space="preserve">  10 — Peer Benchmark</t>
        </is>
      </c>
      <c r="C32" s="13" t="inlineStr">
        <is>
          <t>TCS vs Wipro vs Infosys vs HCL vs TechM vs LTIMindtree</t>
        </is>
      </c>
    </row>
  </sheetData>
  <mergeCells count="4">
    <mergeCell ref="B4:C4"/>
    <mergeCell ref="B3:C3"/>
    <mergeCell ref="B22:C22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</cols>
  <sheetData>
    <row r="1" ht="8" customHeight="1"/>
    <row r="2" ht="44" customHeight="1">
      <c r="B2" s="14" t="inlineStr">
        <is>
          <t xml:space="preserve">  TCS vs. WIPRO  —  COMPS TABLE  |  FY 2024–2025</t>
        </is>
      </c>
      <c r="C2" s="15" t="n"/>
      <c r="D2" s="15" t="n"/>
      <c r="E2" s="15" t="n"/>
      <c r="F2" s="2" t="n"/>
    </row>
    <row r="3" ht="8" customHeight="1"/>
    <row r="4" ht="28" customHeight="1">
      <c r="B4" s="16" t="inlineStr">
        <is>
          <t>METRIC</t>
        </is>
      </c>
      <c r="C4" s="16" t="inlineStr">
        <is>
          <t>TCS
FY24</t>
        </is>
      </c>
      <c r="D4" s="16" t="inlineStr">
        <is>
          <t>TCS
FY25</t>
        </is>
      </c>
      <c r="E4" s="16" t="inlineStr">
        <is>
          <t>WIPRO
FY24</t>
        </is>
      </c>
      <c r="F4" s="16" t="inlineStr">
        <is>
          <t>WIPRO
FY25</t>
        </is>
      </c>
    </row>
    <row r="5">
      <c r="B5" s="17" t="inlineStr">
        <is>
          <t xml:space="preserve">  A. INCOME STATEMENT  (TCS: USD Mn  |  Wipro Ltd IT: USD Mn est.)</t>
        </is>
      </c>
      <c r="C5" s="15" t="n"/>
      <c r="D5" s="15" t="n"/>
      <c r="E5" s="15" t="n"/>
      <c r="F5" s="2" t="n"/>
    </row>
    <row r="6" ht="18" customHeight="1">
      <c r="B6" s="18" t="inlineStr">
        <is>
          <t>Revenue</t>
        </is>
      </c>
      <c r="C6" s="19" t="n">
        <v>29080</v>
      </c>
      <c r="D6" s="20" t="n">
        <v>30179</v>
      </c>
      <c r="E6" s="19" t="n">
        <v>11599</v>
      </c>
      <c r="F6" s="19" t="n">
        <v>10574</v>
      </c>
    </row>
    <row r="7" ht="18" customHeight="1">
      <c r="B7" s="21" t="inlineStr">
        <is>
          <t xml:space="preserve">  YoY Growth (%)</t>
        </is>
      </c>
      <c r="C7" s="22" t="inlineStr">
        <is>
          <t>—</t>
        </is>
      </c>
      <c r="D7" s="23" t="n">
        <v>0.037</v>
      </c>
      <c r="E7" s="22" t="inlineStr">
        <is>
          <t>—</t>
        </is>
      </c>
      <c r="F7" s="24" t="n">
        <v>-0.08699999999999999</v>
      </c>
    </row>
    <row r="8" ht="18" customHeight="1">
      <c r="B8" s="25" t="inlineStr">
        <is>
          <t>Gross Profit</t>
        </is>
      </c>
      <c r="C8" s="26" t="n">
        <v>11745</v>
      </c>
      <c r="D8" s="26" t="n">
        <v>11741</v>
      </c>
      <c r="E8" s="27" t="inlineStr">
        <is>
          <t>—</t>
        </is>
      </c>
      <c r="F8" s="27" t="inlineStr">
        <is>
          <t>—</t>
        </is>
      </c>
    </row>
    <row r="9" ht="18" customHeight="1">
      <c r="B9" s="18" t="inlineStr">
        <is>
          <t>EBIT</t>
        </is>
      </c>
      <c r="C9" s="19" t="n">
        <v>7158</v>
      </c>
      <c r="D9" s="20" t="n">
        <v>7348</v>
      </c>
      <c r="E9" s="19" t="n">
        <v>1868</v>
      </c>
      <c r="F9" s="19" t="n">
        <v>1850</v>
      </c>
    </row>
    <row r="10" ht="18" customHeight="1">
      <c r="B10" s="18" t="inlineStr">
        <is>
          <t>EBITDA (est.)</t>
        </is>
      </c>
      <c r="C10" s="19" t="n">
        <v>7760</v>
      </c>
      <c r="D10" s="20" t="n">
        <v>7967</v>
      </c>
      <c r="E10" s="19" t="n">
        <v>2180</v>
      </c>
      <c r="F10" s="19" t="n">
        <v>2200</v>
      </c>
    </row>
    <row r="11" ht="18" customHeight="1">
      <c r="B11" s="18" t="inlineStr">
        <is>
          <t>PAT (Net Profit)</t>
        </is>
      </c>
      <c r="C11" s="19" t="n">
        <v>5623</v>
      </c>
      <c r="D11" s="20" t="n">
        <v>5739</v>
      </c>
      <c r="E11" s="19" t="n">
        <v>1469</v>
      </c>
      <c r="F11" s="19" t="n">
        <v>1567</v>
      </c>
    </row>
    <row r="12" ht="18" customHeight="1">
      <c r="B12" s="25" t="inlineStr">
        <is>
          <t>EBITDA Margin</t>
        </is>
      </c>
      <c r="C12" s="28" t="n">
        <v>0.2668</v>
      </c>
      <c r="D12" s="23" t="n">
        <v>0.2639</v>
      </c>
      <c r="E12" s="28" t="n">
        <v>0.188</v>
      </c>
      <c r="F12" s="28" t="n">
        <v>0.208</v>
      </c>
    </row>
    <row r="13" ht="18" customHeight="1">
      <c r="B13" s="18" t="inlineStr">
        <is>
          <t>EBIT Margin</t>
        </is>
      </c>
      <c r="C13" s="29" t="n">
        <v>0.2461</v>
      </c>
      <c r="D13" s="30" t="n">
        <v>0.2435</v>
      </c>
      <c r="E13" s="29" t="n">
        <v>0.1611</v>
      </c>
      <c r="F13" s="29" t="n">
        <v>0.175</v>
      </c>
    </row>
    <row r="14" ht="18" customHeight="1">
      <c r="B14" s="25" t="inlineStr">
        <is>
          <t>Net Profit Margin</t>
        </is>
      </c>
      <c r="C14" s="28" t="n">
        <v>0.1933</v>
      </c>
      <c r="D14" s="23" t="n">
        <v>0.1901</v>
      </c>
      <c r="E14" s="28" t="n">
        <v>0.1267</v>
      </c>
      <c r="F14" s="28" t="n">
        <v>0.1482</v>
      </c>
    </row>
    <row r="16">
      <c r="B16" s="17" t="inlineStr">
        <is>
          <t xml:space="preserve">  B. VALUATION  (Market data ~Apr-2025 est.  |  EV in USD Bn)</t>
        </is>
      </c>
      <c r="C16" s="15" t="n"/>
      <c r="D16" s="15" t="n"/>
      <c r="E16" s="15" t="n"/>
      <c r="F16" s="2" t="n"/>
    </row>
    <row r="17" ht="18" customHeight="1">
      <c r="B17" s="21" t="inlineStr">
        <is>
          <t>Mkt Cap (USD Bn)</t>
        </is>
      </c>
      <c r="C17" s="31" t="n">
        <v>143.5</v>
      </c>
      <c r="D17" s="32" t="n">
        <v>130.7</v>
      </c>
      <c r="E17" s="31" t="n">
        <v>50.3</v>
      </c>
      <c r="F17" s="31" t="n">
        <v>32.1</v>
      </c>
    </row>
    <row r="18" ht="18" customHeight="1">
      <c r="B18" s="25" t="inlineStr">
        <is>
          <t>EV (USD Bn)</t>
        </is>
      </c>
      <c r="C18" s="33" t="n">
        <v>140.2</v>
      </c>
      <c r="D18" s="32" t="n">
        <v>127.9</v>
      </c>
      <c r="E18" s="33" t="n">
        <v>48.6</v>
      </c>
      <c r="F18" s="33" t="n">
        <v>30.2</v>
      </c>
    </row>
    <row r="19" ht="18" customHeight="1">
      <c r="B19" s="21" t="inlineStr">
        <is>
          <t>EV / Revenue</t>
        </is>
      </c>
      <c r="C19" s="34" t="n">
        <v>4.82</v>
      </c>
      <c r="D19" s="35" t="n">
        <v>4.24</v>
      </c>
      <c r="E19" s="34" t="n">
        <v>4.19</v>
      </c>
      <c r="F19" s="34" t="n">
        <v>2.86</v>
      </c>
    </row>
    <row r="20" ht="18" customHeight="1">
      <c r="B20" s="18" t="inlineStr">
        <is>
          <t>EV / EBITDA</t>
        </is>
      </c>
      <c r="C20" s="36" t="n">
        <v>18.1</v>
      </c>
      <c r="D20" s="37" t="n">
        <v>16.1</v>
      </c>
      <c r="E20" s="36" t="n">
        <v>22.3</v>
      </c>
      <c r="F20" s="36" t="n">
        <v>13.7</v>
      </c>
    </row>
    <row r="21" ht="18" customHeight="1">
      <c r="B21" s="21" t="inlineStr">
        <is>
          <t>EV / EBIT</t>
        </is>
      </c>
      <c r="C21" s="34" t="n">
        <v>19.6</v>
      </c>
      <c r="D21" s="35" t="n">
        <v>17.4</v>
      </c>
      <c r="E21" s="34" t="n">
        <v>26</v>
      </c>
      <c r="F21" s="34" t="n">
        <v>16.3</v>
      </c>
    </row>
    <row r="22" ht="18" customHeight="1">
      <c r="B22" s="18" t="inlineStr">
        <is>
          <t>P / E</t>
        </is>
      </c>
      <c r="C22" s="36" t="n">
        <v>25.5</v>
      </c>
      <c r="D22" s="37" t="n">
        <v>22.8</v>
      </c>
      <c r="E22" s="36" t="n">
        <v>34.2</v>
      </c>
      <c r="F22" s="36" t="n">
        <v>20.5</v>
      </c>
    </row>
    <row r="23" ht="18" customHeight="1">
      <c r="B23" s="21" t="inlineStr">
        <is>
          <t>P / BV</t>
        </is>
      </c>
      <c r="C23" s="34" t="n">
        <v>15.4</v>
      </c>
      <c r="D23" s="35" t="n">
        <v>13.8</v>
      </c>
      <c r="E23" s="34" t="n">
        <v>6.2</v>
      </c>
      <c r="F23" s="34" t="n">
        <v>3.9</v>
      </c>
    </row>
    <row r="24" ht="18" customHeight="1">
      <c r="B24" s="25" t="inlineStr">
        <is>
          <t>Dividend Yield</t>
        </is>
      </c>
      <c r="C24" s="28" t="n">
        <v>0.021</v>
      </c>
      <c r="D24" s="23" t="n">
        <v>0.026</v>
      </c>
      <c r="E24" s="28" t="n">
        <v>0.007</v>
      </c>
      <c r="F24" s="28" t="n">
        <v>0.01</v>
      </c>
    </row>
    <row r="26">
      <c r="B26" s="17" t="inlineStr">
        <is>
          <t xml:space="preserve">  C. BALANCE SHEET  (TCS: USD Mn  |  Wipro Ltd IT: USD Mn est.)</t>
        </is>
      </c>
      <c r="C26" s="15" t="n"/>
      <c r="D26" s="15" t="n"/>
      <c r="E26" s="15" t="n"/>
      <c r="F26" s="2" t="n"/>
    </row>
    <row r="27" ht="18" customHeight="1">
      <c r="B27" s="21" t="inlineStr">
        <is>
          <t>Total Assets</t>
        </is>
      </c>
      <c r="C27" s="38" t="n">
        <v>17816</v>
      </c>
      <c r="D27" s="39" t="n">
        <v>18931</v>
      </c>
      <c r="E27" s="38" t="n">
        <v>13800</v>
      </c>
      <c r="F27" s="38" t="n">
        <v>14200</v>
      </c>
    </row>
    <row r="28" ht="18" customHeight="1">
      <c r="B28" s="25" t="inlineStr">
        <is>
          <t>Cash &amp; Investments</t>
        </is>
      </c>
      <c r="C28" s="26" t="n">
        <v>5537</v>
      </c>
      <c r="D28" s="39" t="n">
        <v>5527</v>
      </c>
      <c r="E28" s="26" t="n">
        <v>2700</v>
      </c>
      <c r="F28" s="26" t="n">
        <v>2800</v>
      </c>
    </row>
    <row r="29" ht="18" customHeight="1">
      <c r="B29" s="21" t="inlineStr">
        <is>
          <t>Total Debt</t>
        </is>
      </c>
      <c r="C29" s="38" t="n">
        <v>0</v>
      </c>
      <c r="D29" s="38" t="n">
        <v>0</v>
      </c>
      <c r="E29" s="38" t="n">
        <v>350</v>
      </c>
      <c r="F29" s="38" t="n">
        <v>420</v>
      </c>
    </row>
    <row r="30" ht="18" customHeight="1">
      <c r="B30" s="18" t="inlineStr">
        <is>
          <t>Net Cash / (Debt)</t>
        </is>
      </c>
      <c r="C30" s="19" t="n">
        <v>5537</v>
      </c>
      <c r="D30" s="19" t="n">
        <v>5527</v>
      </c>
      <c r="E30" s="19" t="n">
        <v>2350</v>
      </c>
      <c r="F30" s="19" t="n">
        <v>2380</v>
      </c>
    </row>
    <row r="31" ht="18" customHeight="1">
      <c r="B31" s="21" t="inlineStr">
        <is>
          <t>Shareholders' Equity</t>
        </is>
      </c>
      <c r="C31" s="38" t="n">
        <v>11205</v>
      </c>
      <c r="D31" s="38" t="n">
        <v>11459</v>
      </c>
      <c r="E31" s="38" t="n">
        <v>11500</v>
      </c>
      <c r="F31" s="39" t="n">
        <v>12000</v>
      </c>
    </row>
    <row r="32" ht="18" customHeight="1">
      <c r="B32" s="18" t="inlineStr">
        <is>
          <t>ROE (%)</t>
        </is>
      </c>
      <c r="C32" s="29" t="n">
        <v>0.497</v>
      </c>
      <c r="D32" s="30" t="n">
        <v>0.501</v>
      </c>
      <c r="E32" s="29" t="n">
        <v>0.127</v>
      </c>
      <c r="F32" s="29" t="n">
        <v>0.13</v>
      </c>
    </row>
    <row r="33" ht="18" customHeight="1">
      <c r="B33" s="21" t="inlineStr">
        <is>
          <t>ROA (%)</t>
        </is>
      </c>
      <c r="C33" s="24" t="n">
        <v>0.316</v>
      </c>
      <c r="D33" s="23" t="n">
        <v>0.304</v>
      </c>
      <c r="E33" s="24" t="n">
        <v>0.106</v>
      </c>
      <c r="F33" s="24" t="n">
        <v>0.11</v>
      </c>
    </row>
    <row r="34" ht="18" customHeight="1">
      <c r="B34" s="25" t="inlineStr">
        <is>
          <t>Debt / Equity</t>
        </is>
      </c>
      <c r="C34" s="33" t="n">
        <v>0</v>
      </c>
      <c r="D34" s="33" t="n">
        <v>0</v>
      </c>
      <c r="E34" s="33" t="n">
        <v>0.03</v>
      </c>
      <c r="F34" s="33" t="n">
        <v>0.04</v>
      </c>
    </row>
    <row r="36">
      <c r="B36" s="17" t="inlineStr">
        <is>
          <t xml:space="preserve">  D. OPERATIONAL KPIs</t>
        </is>
      </c>
      <c r="C36" s="15" t="n"/>
      <c r="D36" s="15" t="n"/>
      <c r="E36" s="15" t="n"/>
      <c r="F36" s="2" t="n"/>
    </row>
    <row r="37" ht="18" customHeight="1">
      <c r="B37" s="21" t="inlineStr">
        <is>
          <t>Headcount</t>
        </is>
      </c>
      <c r="C37" s="38" t="n">
        <v>601546</v>
      </c>
      <c r="D37" s="39" t="n">
        <v>607979</v>
      </c>
      <c r="E37" s="38" t="n">
        <v>234000</v>
      </c>
      <c r="F37" s="38" t="n">
        <v>234509</v>
      </c>
    </row>
    <row r="38" ht="18" customHeight="1">
      <c r="B38" s="18" t="inlineStr">
        <is>
          <t>Rev / Employee (USD K)</t>
        </is>
      </c>
      <c r="C38" s="40" t="n">
        <v>48.3</v>
      </c>
      <c r="D38" s="41" t="n">
        <v>49.6</v>
      </c>
      <c r="E38" s="40" t="n">
        <v>49.6</v>
      </c>
      <c r="F38" s="40" t="n">
        <v>45.1</v>
      </c>
    </row>
    <row r="39" ht="18" customHeight="1">
      <c r="B39" s="21" t="inlineStr">
        <is>
          <t>IT Attrition (LTM %)</t>
        </is>
      </c>
      <c r="C39" s="24" t="n">
        <v>0.125</v>
      </c>
      <c r="D39" s="23" t="n">
        <v>0.133</v>
      </c>
      <c r="E39" s="24" t="n">
        <v>0.148</v>
      </c>
      <c r="F39" s="24" t="n">
        <v>0.145</v>
      </c>
    </row>
    <row r="40" ht="18" customHeight="1">
      <c r="B40" s="25" t="inlineStr">
        <is>
          <t>$100 Mn+ Clients</t>
        </is>
      </c>
      <c r="C40" s="26" t="n">
        <v>62</v>
      </c>
      <c r="D40" s="39" t="n">
        <v>64</v>
      </c>
      <c r="E40" s="26" t="n">
        <v>59</v>
      </c>
      <c r="F40" s="26" t="n">
        <v>61</v>
      </c>
    </row>
    <row r="41" ht="18" customHeight="1">
      <c r="B41" s="21" t="inlineStr">
        <is>
          <t>$1 Mn+ Clients</t>
        </is>
      </c>
      <c r="C41" s="38" t="n">
        <v>1294</v>
      </c>
      <c r="D41" s="39" t="n">
        <v>1332</v>
      </c>
      <c r="E41" s="38" t="n">
        <v>910</v>
      </c>
      <c r="F41" s="38" t="n">
        <v>921</v>
      </c>
    </row>
    <row r="42" ht="18" customHeight="1">
      <c r="B42" s="18" t="inlineStr">
        <is>
          <t>Deal TCV (USD Bn est.)</t>
        </is>
      </c>
      <c r="C42" s="40" t="n">
        <v>42.4</v>
      </c>
      <c r="D42" s="41" t="n">
        <v>38.4</v>
      </c>
      <c r="E42" s="40" t="n">
        <v>31.8</v>
      </c>
      <c r="F42" s="40" t="n">
        <v>33.2</v>
      </c>
    </row>
    <row r="43" ht="18" customHeight="1">
      <c r="B43" s="21" t="inlineStr">
        <is>
          <t>AI Revenue Mix (est. %)</t>
        </is>
      </c>
      <c r="C43" s="24" t="n">
        <v>0.38</v>
      </c>
      <c r="D43" s="23" t="n">
        <v>0.43</v>
      </c>
      <c r="E43" s="24" t="n">
        <v>0.22</v>
      </c>
      <c r="F43" s="24" t="n">
        <v>0.29</v>
      </c>
    </row>
    <row r="45" ht="30" customHeight="1">
      <c r="B45" s="42" t="inlineStr">
        <is>
          <t>Sources: TCS — official IFRS Data Sheet Q2FY26 (actuals). Wipro Ltd IT Services — derived from public quarterly results &amp; consensus estimates; converted at avg ₹84.6/USD FY25. Valuation: market prices ~Apr-2025. Green shading = stronger performer for that FY25 metric. Wipro Enterprises (P) Ltd (private holding entity) is NOT the same as Wipro Limited (NSE: WIPRO).</t>
        </is>
      </c>
    </row>
  </sheetData>
  <mergeCells count="6">
    <mergeCell ref="B2:F2"/>
    <mergeCell ref="B16:F16"/>
    <mergeCell ref="B5:F5"/>
    <mergeCell ref="B45:F45"/>
    <mergeCell ref="B36:F36"/>
    <mergeCell ref="B26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5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</cols>
  <sheetData>
    <row r="1" ht="8" customHeight="1"/>
    <row r="2" ht="44" customHeight="1">
      <c r="B2" s="14" t="inlineStr">
        <is>
          <t xml:space="preserve">  INCOME STATEMENT  |  FY 2024–2025</t>
        </is>
      </c>
      <c r="C2" s="15" t="n"/>
      <c r="D2" s="15" t="n"/>
      <c r="E2" s="15" t="n"/>
      <c r="F2" s="15" t="n"/>
      <c r="G2" s="2" t="n"/>
    </row>
    <row r="3" ht="8" customHeight="1"/>
    <row r="4" ht="24" customHeight="1">
      <c r="B4" s="17" t="inlineStr">
        <is>
          <t xml:space="preserve">  TCS CONSOLIDATED — IFRS  (USD Mn)</t>
        </is>
      </c>
      <c r="C4" s="15" t="n"/>
      <c r="D4" s="15" t="n"/>
      <c r="E4" s="15" t="n"/>
      <c r="F4" s="15" t="n"/>
      <c r="G4" s="2" t="n"/>
    </row>
    <row r="5" ht="28" customHeight="1">
      <c r="B5" s="16" t="inlineStr">
        <is>
          <t>Line Item</t>
        </is>
      </c>
      <c r="C5" s="16" t="inlineStr">
        <is>
          <t>FY24
(Actual)</t>
        </is>
      </c>
      <c r="D5" s="16" t="inlineStr">
        <is>
          <t>FY25
(Actual)</t>
        </is>
      </c>
      <c r="E5" s="16" t="inlineStr">
        <is>
          <t>YoY Δ
(USD Mn)</t>
        </is>
      </c>
      <c r="F5" s="16" t="inlineStr">
        <is>
          <t>YoY Δ
(%)</t>
        </is>
      </c>
      <c r="G5" s="16" t="inlineStr">
        <is>
          <t>Notes</t>
        </is>
      </c>
    </row>
    <row r="6" ht="18" customHeight="1">
      <c r="B6" s="18" t="inlineStr">
        <is>
          <t>Revenue (IT &amp; Consulting)</t>
        </is>
      </c>
      <c r="C6" s="19" t="n">
        <v>29080</v>
      </c>
      <c r="D6" s="19" t="n">
        <v>30179</v>
      </c>
      <c r="E6" s="43">
        <f>D6-C6</f>
        <v/>
      </c>
      <c r="F6" s="44">
        <f>(D6-C6)/ABS(C6)</f>
        <v/>
      </c>
      <c r="G6" s="45" t="inlineStr">
        <is>
          <t>From IFRS Data Sheet Q2FY26</t>
        </is>
      </c>
    </row>
    <row r="7" ht="18" customHeight="1">
      <c r="B7" s="21" t="inlineStr">
        <is>
          <t xml:space="preserve">  Employee Cost (CoR)</t>
        </is>
      </c>
      <c r="C7" s="38" t="n">
        <v>13188</v>
      </c>
      <c r="D7" s="38" t="n">
        <v>13668</v>
      </c>
      <c r="E7" s="46">
        <f>D7-C7</f>
        <v/>
      </c>
      <c r="F7" s="47">
        <f>(D7-C7)/ABS(C7)</f>
        <v/>
      </c>
      <c r="G7" s="48" t="inlineStr">
        <is>
          <t>45.3% of revenue FY25</t>
        </is>
      </c>
    </row>
    <row r="8" ht="18" customHeight="1">
      <c r="B8" s="25" t="inlineStr">
        <is>
          <t xml:space="preserve">  Subcontracting (External Cons.)</t>
        </is>
      </c>
      <c r="C8" s="26" t="n">
        <v>1810</v>
      </c>
      <c r="D8" s="26" t="n">
        <v>1305</v>
      </c>
      <c r="E8" s="49">
        <f>D8-C8</f>
        <v/>
      </c>
      <c r="F8" s="50">
        <f>(D8-C8)/ABS(C8)</f>
        <v/>
      </c>
      <c r="G8" s="51" t="inlineStr">
        <is>
          <t>Reduced in FY25</t>
        </is>
      </c>
    </row>
    <row r="9" ht="18" customHeight="1">
      <c r="B9" s="21" t="inlineStr">
        <is>
          <t xml:space="preserve">  Cost of Equipment/Software</t>
        </is>
      </c>
      <c r="C9" s="38" t="n">
        <v>446</v>
      </c>
      <c r="D9" s="38" t="n">
        <v>1376</v>
      </c>
      <c r="E9" s="46">
        <f>D9-C9</f>
        <v/>
      </c>
      <c r="F9" s="47">
        <f>(D9-C9)/ABS(C9)</f>
        <v/>
      </c>
      <c r="G9" s="48" t="inlineStr">
        <is>
          <t>Spike; likely one-off hardware</t>
        </is>
      </c>
    </row>
    <row r="10" ht="18" customHeight="1">
      <c r="B10" s="25" t="inlineStr">
        <is>
          <t xml:space="preserve">  Depreciation (CoR)</t>
        </is>
      </c>
      <c r="C10" s="26" t="n">
        <v>461</v>
      </c>
      <c r="D10" s="26" t="n">
        <v>483</v>
      </c>
      <c r="E10" s="52">
        <f>D10-C10</f>
        <v/>
      </c>
      <c r="F10" s="53">
        <f>(D10-C10)/ABS(C10)</f>
        <v/>
      </c>
      <c r="G10" s="51" t="inlineStr">
        <is>
          <t>Includes ROU assets</t>
        </is>
      </c>
    </row>
    <row r="11" ht="18" customHeight="1">
      <c r="B11" s="21" t="inlineStr">
        <is>
          <t xml:space="preserve">  Travel</t>
        </is>
      </c>
      <c r="C11" s="38" t="n">
        <v>249</v>
      </c>
      <c r="D11" s="38" t="n">
        <v>276</v>
      </c>
      <c r="E11" s="46">
        <f>D11-C11</f>
        <v/>
      </c>
      <c r="F11" s="47">
        <f>(D11-C11)/ABS(C11)</f>
        <v/>
      </c>
      <c r="G11" s="48" t="inlineStr">
        <is>
          <t>Post-pandemic normalisation</t>
        </is>
      </c>
    </row>
    <row r="12" ht="18" customHeight="1">
      <c r="B12" s="25" t="inlineStr">
        <is>
          <t xml:space="preserve">  Communication</t>
        </is>
      </c>
      <c r="C12" s="26" t="n">
        <v>178</v>
      </c>
      <c r="D12" s="26" t="n">
        <v>190</v>
      </c>
      <c r="E12" s="52">
        <f>D12-C12</f>
        <v/>
      </c>
      <c r="F12" s="53">
        <f>(D12-C12)/ABS(C12)</f>
        <v/>
      </c>
      <c r="G12" s="51" t="inlineStr"/>
    </row>
    <row r="13" ht="18" customHeight="1">
      <c r="B13" s="21" t="inlineStr">
        <is>
          <t xml:space="preserve">  Facility Expenses</t>
        </is>
      </c>
      <c r="C13" s="38" t="n">
        <v>233</v>
      </c>
      <c r="D13" s="38" t="n">
        <v>255</v>
      </c>
      <c r="E13" s="46">
        <f>D13-C13</f>
        <v/>
      </c>
      <c r="F13" s="47">
        <f>(D13-C13)/ABS(C13)</f>
        <v/>
      </c>
      <c r="G13" s="48" t="inlineStr"/>
    </row>
    <row r="14" ht="18" customHeight="1">
      <c r="B14" s="25" t="inlineStr">
        <is>
          <t xml:space="preserve">  Other Expenses</t>
        </is>
      </c>
      <c r="C14" s="26" t="n">
        <v>770</v>
      </c>
      <c r="D14" s="26" t="n">
        <v>885</v>
      </c>
      <c r="E14" s="52">
        <f>D14-C14</f>
        <v/>
      </c>
      <c r="F14" s="53">
        <f>(D14-C14)/ABS(C14)</f>
        <v/>
      </c>
      <c r="G14" s="51" t="inlineStr"/>
    </row>
    <row r="15" ht="18" customHeight="1">
      <c r="B15" s="54" t="inlineStr">
        <is>
          <t>Total Cost of Revenues</t>
        </is>
      </c>
      <c r="C15" s="55" t="n">
        <v>17335</v>
      </c>
      <c r="D15" s="55" t="n">
        <v>18438</v>
      </c>
      <c r="E15" s="56">
        <f>D15-C15</f>
        <v/>
      </c>
      <c r="F15" s="57">
        <f>(D15-C15)/ABS(C15)</f>
        <v/>
      </c>
      <c r="G15" s="58" t="inlineStr"/>
    </row>
    <row r="16" ht="18" customHeight="1">
      <c r="B16" s="18" t="inlineStr">
        <is>
          <t>GROSS PROFIT</t>
        </is>
      </c>
      <c r="C16" s="19" t="n">
        <v>11745</v>
      </c>
      <c r="D16" s="19" t="n">
        <v>11741</v>
      </c>
      <c r="E16" s="59">
        <f>D16-C16</f>
        <v/>
      </c>
      <c r="F16" s="60">
        <f>(D16-C16)/ABS(C16)</f>
        <v/>
      </c>
      <c r="G16" s="45" t="inlineStr">
        <is>
          <t>Gross margin 38.9% FY25</t>
        </is>
      </c>
    </row>
    <row r="17" ht="18" customHeight="1">
      <c r="B17" s="21" t="inlineStr">
        <is>
          <t xml:space="preserve">  SG&amp;A Employee Cost</t>
        </is>
      </c>
      <c r="C17" s="38" t="n">
        <v>3729</v>
      </c>
      <c r="D17" s="38" t="n">
        <v>3565</v>
      </c>
      <c r="E17" s="61">
        <f>D17-C17</f>
        <v/>
      </c>
      <c r="F17" s="62">
        <f>(D17-C17)/ABS(C17)</f>
        <v/>
      </c>
      <c r="G17" s="48" t="inlineStr"/>
    </row>
    <row r="18" ht="18" customHeight="1">
      <c r="B18" s="25" t="inlineStr">
        <is>
          <t xml:space="preserve">  External Consultants (SG&amp;A)</t>
        </is>
      </c>
      <c r="C18" s="26" t="n">
        <v>101</v>
      </c>
      <c r="D18" s="26" t="n">
        <v>77</v>
      </c>
      <c r="E18" s="49">
        <f>D18-C18</f>
        <v/>
      </c>
      <c r="F18" s="50">
        <f>(D18-C18)/ABS(C18)</f>
        <v/>
      </c>
      <c r="G18" s="51" t="inlineStr"/>
    </row>
    <row r="19" ht="18" customHeight="1">
      <c r="B19" s="21" t="inlineStr">
        <is>
          <t xml:space="preserve">  Provision Doubtful Debts</t>
        </is>
      </c>
      <c r="C19" s="38" t="n">
        <v>14</v>
      </c>
      <c r="D19" s="38" t="n">
        <v>15</v>
      </c>
      <c r="E19" s="46">
        <f>D19-C19</f>
        <v/>
      </c>
      <c r="F19" s="47">
        <f>(D19-C19)/ABS(C19)</f>
        <v/>
      </c>
      <c r="G19" s="48" t="inlineStr"/>
    </row>
    <row r="20" ht="18" customHeight="1">
      <c r="B20" s="25" t="inlineStr">
        <is>
          <t xml:space="preserve">  Depreciation (SG&amp;A)</t>
        </is>
      </c>
      <c r="C20" s="26" t="n">
        <v>141</v>
      </c>
      <c r="D20" s="26" t="n">
        <v>136</v>
      </c>
      <c r="E20" s="49">
        <f>D20-C20</f>
        <v/>
      </c>
      <c r="F20" s="50">
        <f>(D20-C20)/ABS(C20)</f>
        <v/>
      </c>
      <c r="G20" s="51" t="inlineStr"/>
    </row>
    <row r="21" ht="18" customHeight="1">
      <c r="B21" s="21" t="inlineStr">
        <is>
          <t xml:space="preserve">  Facility Expenses (SG&amp;A)</t>
        </is>
      </c>
      <c r="C21" s="38" t="n">
        <v>142</v>
      </c>
      <c r="D21" s="38" t="n">
        <v>153</v>
      </c>
      <c r="E21" s="46">
        <f>D21-C21</f>
        <v/>
      </c>
      <c r="F21" s="47">
        <f>(D21-C21)/ABS(C21)</f>
        <v/>
      </c>
      <c r="G21" s="48" t="inlineStr"/>
    </row>
    <row r="22" ht="18" customHeight="1">
      <c r="B22" s="25" t="inlineStr">
        <is>
          <t xml:space="preserve">  Travel (SG&amp;A)</t>
        </is>
      </c>
      <c r="C22" s="26" t="n">
        <v>110</v>
      </c>
      <c r="D22" s="26" t="n">
        <v>104</v>
      </c>
      <c r="E22" s="49">
        <f>D22-C22</f>
        <v/>
      </c>
      <c r="F22" s="50">
        <f>(D22-C22)/ABS(C22)</f>
        <v/>
      </c>
      <c r="G22" s="51" t="inlineStr"/>
    </row>
    <row r="23" ht="18" customHeight="1">
      <c r="B23" s="21" t="inlineStr">
        <is>
          <t xml:space="preserve">  Communication (SG&amp;A)</t>
        </is>
      </c>
      <c r="C23" s="38" t="n">
        <v>95</v>
      </c>
      <c r="D23" s="38" t="n">
        <v>90</v>
      </c>
      <c r="E23" s="61">
        <f>D23-C23</f>
        <v/>
      </c>
      <c r="F23" s="62">
        <f>(D23-C23)/ABS(C23)</f>
        <v/>
      </c>
      <c r="G23" s="48" t="inlineStr"/>
    </row>
    <row r="24" ht="18" customHeight="1">
      <c r="B24" s="25" t="inlineStr">
        <is>
          <t xml:space="preserve">  Other Expenses (SG&amp;A)</t>
        </is>
      </c>
      <c r="C24" s="26" t="n">
        <v>255</v>
      </c>
      <c r="D24" s="26" t="n">
        <v>253</v>
      </c>
      <c r="E24" s="49">
        <f>D24-C24</f>
        <v/>
      </c>
      <c r="F24" s="50">
        <f>(D24-C24)/ABS(C24)</f>
        <v/>
      </c>
      <c r="G24" s="51" t="inlineStr"/>
    </row>
    <row r="25" ht="18" customHeight="1">
      <c r="B25" s="54" t="inlineStr">
        <is>
          <t>Total SG&amp;A / Operating Expenses</t>
        </is>
      </c>
      <c r="C25" s="55" t="n">
        <v>4587</v>
      </c>
      <c r="D25" s="55" t="n">
        <v>4393</v>
      </c>
      <c r="E25" s="63">
        <f>D25-C25</f>
        <v/>
      </c>
      <c r="F25" s="64">
        <f>(D25-C25)/ABS(C25)</f>
        <v/>
      </c>
      <c r="G25" s="58" t="inlineStr">
        <is>
          <t>15.1% → 14.6% rev; efficiency gain</t>
        </is>
      </c>
    </row>
    <row r="26" ht="18" customHeight="1">
      <c r="B26" s="18" t="inlineStr">
        <is>
          <t>EBIT (Operating Income)</t>
        </is>
      </c>
      <c r="C26" s="19" t="n">
        <v>7158</v>
      </c>
      <c r="D26" s="19" t="n">
        <v>7348</v>
      </c>
      <c r="E26" s="43">
        <f>D26-C26</f>
        <v/>
      </c>
      <c r="F26" s="44">
        <f>(D26-C26)/ABS(C26)</f>
        <v/>
      </c>
      <c r="G26" s="45" t="inlineStr">
        <is>
          <t>EBIT Margin: 24.6% → 24.4%</t>
        </is>
      </c>
    </row>
    <row r="27" ht="18" customHeight="1">
      <c r="B27" s="21" t="inlineStr">
        <is>
          <t xml:space="preserve">  D&amp;A Total (CoR + SG&amp;A)</t>
        </is>
      </c>
      <c r="C27" s="38" t="n">
        <v>602</v>
      </c>
      <c r="D27" s="38" t="n">
        <v>619</v>
      </c>
      <c r="E27" s="46">
        <f>D27-C27</f>
        <v/>
      </c>
      <c r="F27" s="47">
        <f>(D27-C27)/ABS(C27)</f>
        <v/>
      </c>
      <c r="G27" s="48" t="inlineStr">
        <is>
          <t>EBITDA = EBIT + D&amp;A</t>
        </is>
      </c>
    </row>
    <row r="28" ht="18" customHeight="1">
      <c r="B28" s="18" t="inlineStr">
        <is>
          <t>EBITDA</t>
        </is>
      </c>
      <c r="C28" s="19" t="n">
        <v>7760</v>
      </c>
      <c r="D28" s="19" t="n">
        <v>7967</v>
      </c>
      <c r="E28" s="43">
        <f>D28-C28</f>
        <v/>
      </c>
      <c r="F28" s="44">
        <f>(D28-C28)/ABS(C28)</f>
        <v/>
      </c>
      <c r="G28" s="45" t="inlineStr">
        <is>
          <t>EBITDA Margin: 26.7% → 26.4%</t>
        </is>
      </c>
    </row>
    <row r="29" ht="18" customHeight="1">
      <c r="B29" s="21" t="inlineStr">
        <is>
          <t>Other Income / (Expenses)</t>
        </is>
      </c>
      <c r="C29" s="38" t="n">
        <v>451</v>
      </c>
      <c r="D29" s="38" t="n">
        <v>374</v>
      </c>
      <c r="E29" s="61">
        <f>D29-C29</f>
        <v/>
      </c>
      <c r="F29" s="62">
        <f>(D29-C29)/ABS(C29)</f>
        <v/>
      </c>
      <c r="G29" s="48" t="inlineStr">
        <is>
          <t>FX gains, interest income</t>
        </is>
      </c>
    </row>
    <row r="30" ht="18" customHeight="1">
      <c r="B30" s="54" t="inlineStr">
        <is>
          <t>Income Before Tax (PBT)</t>
        </is>
      </c>
      <c r="C30" s="55" t="n">
        <v>7609</v>
      </c>
      <c r="D30" s="55" t="n">
        <v>7722</v>
      </c>
      <c r="E30" s="56">
        <f>D30-C30</f>
        <v/>
      </c>
      <c r="F30" s="57">
        <f>(D30-C30)/ABS(C30)</f>
        <v/>
      </c>
      <c r="G30" s="58" t="inlineStr"/>
    </row>
    <row r="31" ht="18" customHeight="1">
      <c r="B31" s="21" t="inlineStr">
        <is>
          <t>Income Tax</t>
        </is>
      </c>
      <c r="C31" s="38" t="n">
        <v>1963</v>
      </c>
      <c r="D31" s="38" t="n">
        <v>1954</v>
      </c>
      <c r="E31" s="61">
        <f>D31-C31</f>
        <v/>
      </c>
      <c r="F31" s="62">
        <f>(D31-C31)/ABS(C31)</f>
        <v/>
      </c>
      <c r="G31" s="48" t="inlineStr">
        <is>
          <t>Effective rate 25.8% → 25.3%</t>
        </is>
      </c>
    </row>
    <row r="32" ht="18" customHeight="1">
      <c r="B32" s="54" t="inlineStr">
        <is>
          <t>Income After Tax</t>
        </is>
      </c>
      <c r="C32" s="55" t="n">
        <v>5646</v>
      </c>
      <c r="D32" s="55" t="n">
        <v>5768</v>
      </c>
      <c r="E32" s="56">
        <f>D32-C32</f>
        <v/>
      </c>
      <c r="F32" s="57">
        <f>(D32-C32)/ABS(C32)</f>
        <v/>
      </c>
      <c r="G32" s="58" t="inlineStr"/>
    </row>
    <row r="33" ht="18" customHeight="1">
      <c r="B33" s="21" t="inlineStr">
        <is>
          <t>Non-Controlling Interests</t>
        </is>
      </c>
      <c r="C33" s="38" t="n">
        <v>-23</v>
      </c>
      <c r="D33" s="38" t="n">
        <v>-29</v>
      </c>
      <c r="E33" s="61">
        <f>D33-C33</f>
        <v/>
      </c>
      <c r="F33" s="62">
        <f>(D33-C33)/ABS(C33)</f>
        <v/>
      </c>
      <c r="G33" s="48" t="inlineStr"/>
    </row>
    <row r="34" ht="18" customHeight="1">
      <c r="B34" s="18" t="inlineStr">
        <is>
          <t>NET PROFIT (attributable to TCS)</t>
        </is>
      </c>
      <c r="C34" s="19" t="n">
        <v>5623</v>
      </c>
      <c r="D34" s="19" t="n">
        <v>5739</v>
      </c>
      <c r="E34" s="43">
        <f>D34-C34</f>
        <v/>
      </c>
      <c r="F34" s="44">
        <f>(D34-C34)/ABS(C34)</f>
        <v/>
      </c>
      <c r="G34" s="45" t="inlineStr">
        <is>
          <t>Net margin 19.3% → 19.0%</t>
        </is>
      </c>
    </row>
    <row r="35" ht="18" customHeight="1">
      <c r="B35" s="54" t="inlineStr">
        <is>
          <t>Basic / Diluted EPS (USD)</t>
        </is>
      </c>
      <c r="C35" s="65" t="n">
        <v>1.54</v>
      </c>
      <c r="D35" s="65" t="n">
        <v>1.59</v>
      </c>
      <c r="E35" s="66" t="inlineStr">
        <is>
          <t>—</t>
        </is>
      </c>
      <c r="F35" s="66" t="inlineStr">
        <is>
          <t>—</t>
        </is>
      </c>
      <c r="G35" s="58" t="inlineStr">
        <is>
          <t>Shares: 3.65Bn</t>
        </is>
      </c>
    </row>
    <row r="36" ht="18" customHeight="1">
      <c r="B36" s="25" t="inlineStr">
        <is>
          <t>Shares Outstanding (Mn)</t>
        </is>
      </c>
      <c r="C36" s="26" t="n">
        <v>3647</v>
      </c>
      <c r="D36" s="26" t="n">
        <v>3618</v>
      </c>
      <c r="E36" s="49">
        <f>D36-C36</f>
        <v/>
      </c>
      <c r="F36" s="50">
        <f>(D36-C36)/ABS(C36)</f>
        <v/>
      </c>
      <c r="G36" s="51" t="inlineStr">
        <is>
          <t>Buybacks reducing share count</t>
        </is>
      </c>
    </row>
    <row r="38" ht="24" customHeight="1">
      <c r="B38" s="17" t="inlineStr">
        <is>
          <t xml:space="preserve">  WIPRO ENTERPRISES (P) LTD — Ind AS STANDALONE  (INR Mn)</t>
        </is>
      </c>
      <c r="C38" s="15" t="n"/>
      <c r="D38" s="15" t="n"/>
      <c r="E38" s="15" t="n"/>
      <c r="F38" s="15" t="n"/>
      <c r="G38" s="2" t="n"/>
    </row>
    <row r="39" ht="28" customHeight="1">
      <c r="B39" s="16" t="inlineStr">
        <is>
          <t>Line Item</t>
        </is>
      </c>
      <c r="C39" s="16" t="inlineStr">
        <is>
          <t>FY24
(Audited)</t>
        </is>
      </c>
      <c r="D39" s="16" t="inlineStr">
        <is>
          <t>FY25
(Audited)</t>
        </is>
      </c>
      <c r="E39" s="16" t="inlineStr">
        <is>
          <t>YoY Δ
(INR Mn)</t>
        </is>
      </c>
      <c r="F39" s="16" t="inlineStr">
        <is>
          <t>YoY Δ
(%)</t>
        </is>
      </c>
      <c r="G39" s="16" t="inlineStr">
        <is>
          <t>Notes</t>
        </is>
      </c>
    </row>
    <row r="40" ht="18" customHeight="1">
      <c r="B40" s="18" t="inlineStr">
        <is>
          <t>Revenue from Operations</t>
        </is>
      </c>
      <c r="C40" s="19" t="n">
        <v>71475</v>
      </c>
      <c r="D40" s="19" t="n">
        <v>72308</v>
      </c>
      <c r="E40" s="43">
        <f>D40-C40</f>
        <v/>
      </c>
      <c r="F40" s="44">
        <f>(D40-C40)/ABS(C40)</f>
        <v/>
      </c>
      <c r="G40" s="45" t="inlineStr">
        <is>
          <t>Consumer care + Infra Engg + Aerospace</t>
        </is>
      </c>
    </row>
    <row r="41" ht="18" customHeight="1">
      <c r="B41" s="21" t="inlineStr">
        <is>
          <t>Other Income</t>
        </is>
      </c>
      <c r="C41" s="38" t="n">
        <v>9583</v>
      </c>
      <c r="D41" s="38" t="n">
        <v>9191</v>
      </c>
      <c r="E41" s="61">
        <f>D41-C41</f>
        <v/>
      </c>
      <c r="F41" s="62">
        <f>(D41-C41)/ABS(C41)</f>
        <v/>
      </c>
      <c r="G41" s="48" t="inlineStr">
        <is>
          <t>Dividend &amp; investment income from subs</t>
        </is>
      </c>
    </row>
    <row r="42" ht="18" customHeight="1">
      <c r="B42" s="18" t="inlineStr">
        <is>
          <t>TOTAL INCOME</t>
        </is>
      </c>
      <c r="C42" s="19" t="n">
        <v>81058</v>
      </c>
      <c r="D42" s="19" t="n">
        <v>81499</v>
      </c>
      <c r="E42" s="43">
        <f>D42-C42</f>
        <v/>
      </c>
      <c r="F42" s="44">
        <f>(D42-C42)/ABS(C42)</f>
        <v/>
      </c>
      <c r="G42" s="45" t="inlineStr"/>
    </row>
    <row r="43" ht="18" customHeight="1">
      <c r="B43" s="21" t="inlineStr">
        <is>
          <t>Cost of Materials Consumed</t>
        </is>
      </c>
      <c r="C43" s="38" t="n">
        <v>38297</v>
      </c>
      <c r="D43" s="38" t="n">
        <v>39567</v>
      </c>
      <c r="E43" s="46">
        <f>D43-C43</f>
        <v/>
      </c>
      <c r="F43" s="47">
        <f>(D43-C43)/ABS(C43)</f>
        <v/>
      </c>
      <c r="G43" s="48" t="inlineStr">
        <is>
          <t>53.5% → 54.7% of ops revenue</t>
        </is>
      </c>
    </row>
    <row r="44" ht="18" customHeight="1">
      <c r="B44" s="25" t="inlineStr">
        <is>
          <t>Purchases of Stock-in-Trade</t>
        </is>
      </c>
      <c r="C44" s="26" t="n">
        <v>530</v>
      </c>
      <c r="D44" s="26" t="n">
        <v>1434</v>
      </c>
      <c r="E44" s="52">
        <f>D44-C44</f>
        <v/>
      </c>
      <c r="F44" s="53">
        <f>(D44-C44)/ABS(C44)</f>
        <v/>
      </c>
      <c r="G44" s="51" t="inlineStr">
        <is>
          <t>Significant increase; new business</t>
        </is>
      </c>
    </row>
    <row r="45" ht="18" customHeight="1">
      <c r="B45" s="21" t="inlineStr">
        <is>
          <t>Change in Inventories (Inv.)</t>
        </is>
      </c>
      <c r="C45" s="38" t="n">
        <v>697</v>
      </c>
      <c r="D45" s="38" t="n">
        <v>-293</v>
      </c>
      <c r="E45" s="61">
        <f>D45-C45</f>
        <v/>
      </c>
      <c r="F45" s="62">
        <f>(D45-C45)/ABS(C45)</f>
        <v/>
      </c>
      <c r="G45" s="48" t="inlineStr">
        <is>
          <t>Build-up in FY25</t>
        </is>
      </c>
    </row>
    <row r="46" ht="18" customHeight="1">
      <c r="B46" s="25" t="inlineStr">
        <is>
          <t>Employee Benefits Expense</t>
        </is>
      </c>
      <c r="C46" s="26" t="n">
        <v>6264</v>
      </c>
      <c r="D46" s="26" t="n">
        <v>6467</v>
      </c>
      <c r="E46" s="52">
        <f>D46-C46</f>
        <v/>
      </c>
      <c r="F46" s="53">
        <f>(D46-C46)/ABS(C46)</f>
        <v/>
      </c>
      <c r="G46" s="51" t="inlineStr">
        <is>
          <t>8.8% → 8.9% of ops revenue</t>
        </is>
      </c>
    </row>
    <row r="47" ht="18" customHeight="1">
      <c r="B47" s="21" t="inlineStr">
        <is>
          <t>Finance Costs</t>
        </is>
      </c>
      <c r="C47" s="38" t="n">
        <v>1478</v>
      </c>
      <c r="D47" s="38" t="n">
        <v>2223</v>
      </c>
      <c r="E47" s="46">
        <f>D47-C47</f>
        <v/>
      </c>
      <c r="F47" s="47">
        <f>(D47-C47)/ABS(C47)</f>
        <v/>
      </c>
      <c r="G47" s="48" t="inlineStr">
        <is>
          <t>Interest on higher borrowings</t>
        </is>
      </c>
    </row>
    <row r="48" ht="18" customHeight="1">
      <c r="B48" s="25" t="inlineStr">
        <is>
          <t>Depreciation &amp; Amortisation</t>
        </is>
      </c>
      <c r="C48" s="26" t="n">
        <v>1830</v>
      </c>
      <c r="D48" s="26" t="n">
        <v>1311</v>
      </c>
      <c r="E48" s="49">
        <f>D48-C48</f>
        <v/>
      </c>
      <c r="F48" s="50">
        <f>(D48-C48)/ABS(C48)</f>
        <v/>
      </c>
      <c r="G48" s="51" t="inlineStr">
        <is>
          <t>Lower D&amp;A in FY25; asset base change</t>
        </is>
      </c>
    </row>
    <row r="49" ht="18" customHeight="1">
      <c r="B49" s="21" t="inlineStr">
        <is>
          <t>Other Expenses</t>
        </is>
      </c>
      <c r="C49" s="38" t="n">
        <v>15955</v>
      </c>
      <c r="D49" s="38" t="n">
        <v>17784</v>
      </c>
      <c r="E49" s="46">
        <f>D49-C49</f>
        <v/>
      </c>
      <c r="F49" s="47">
        <f>(D49-C49)/ABS(C49)</f>
        <v/>
      </c>
      <c r="G49" s="48" t="inlineStr">
        <is>
          <t>Selling, admin, distribution</t>
        </is>
      </c>
    </row>
    <row r="50" ht="18" customHeight="1">
      <c r="B50" s="54" t="inlineStr">
        <is>
          <t>Total Expenses</t>
        </is>
      </c>
      <c r="C50" s="55" t="n">
        <v>65051</v>
      </c>
      <c r="D50" s="55" t="n">
        <v>68493</v>
      </c>
      <c r="E50" s="56">
        <f>D50-C50</f>
        <v/>
      </c>
      <c r="F50" s="57">
        <f>(D50-C50)/ABS(C50)</f>
        <v/>
      </c>
      <c r="G50" s="58" t="inlineStr"/>
    </row>
    <row r="51" ht="18" customHeight="1">
      <c r="B51" s="18" t="inlineStr">
        <is>
          <t>PROFIT BEFORE TAX (PBT)</t>
        </is>
      </c>
      <c r="C51" s="19" t="n">
        <v>16007</v>
      </c>
      <c r="D51" s="19" t="n">
        <v>13006</v>
      </c>
      <c r="E51" s="59">
        <f>D51-C51</f>
        <v/>
      </c>
      <c r="F51" s="60">
        <f>(D51-C51)/ABS(C51)</f>
        <v/>
      </c>
      <c r="G51" s="45" t="inlineStr">
        <is>
          <t>PBT Margin: 22.4% → 18.0%</t>
        </is>
      </c>
    </row>
    <row r="52" ht="18" customHeight="1">
      <c r="B52" s="25" t="inlineStr">
        <is>
          <t xml:space="preserve">  Income Tax — Current</t>
        </is>
      </c>
      <c r="C52" s="26" t="n">
        <v>2766</v>
      </c>
      <c r="D52" s="26" t="n">
        <v>3157</v>
      </c>
      <c r="E52" s="52">
        <f>D52-C52</f>
        <v/>
      </c>
      <c r="F52" s="53">
        <f>(D52-C52)/ABS(C52)</f>
        <v/>
      </c>
      <c r="G52" s="51" t="inlineStr"/>
    </row>
    <row r="53" ht="18" customHeight="1">
      <c r="B53" s="21" t="inlineStr">
        <is>
          <t xml:space="preserve">  Income Tax — Deferred</t>
        </is>
      </c>
      <c r="C53" s="38" t="n">
        <v>609</v>
      </c>
      <c r="D53" s="38" t="n">
        <v>73</v>
      </c>
      <c r="E53" s="61">
        <f>D53-C53</f>
        <v/>
      </c>
      <c r="F53" s="62">
        <f>(D53-C53)/ABS(C53)</f>
        <v/>
      </c>
      <c r="G53" s="48" t="inlineStr"/>
    </row>
    <row r="54" ht="18" customHeight="1">
      <c r="B54" s="54" t="inlineStr">
        <is>
          <t>Total Tax Expense</t>
        </is>
      </c>
      <c r="C54" s="55" t="n">
        <v>3375</v>
      </c>
      <c r="D54" s="55" t="n">
        <v>3230</v>
      </c>
      <c r="E54" s="63">
        <f>D54-C54</f>
        <v/>
      </c>
      <c r="F54" s="64">
        <f>(D54-C54)/ABS(C54)</f>
        <v/>
      </c>
      <c r="G54" s="58" t="inlineStr">
        <is>
          <t>Effective rate 21.1% → 24.8%</t>
        </is>
      </c>
    </row>
    <row r="55" ht="18" customHeight="1">
      <c r="B55" s="18" t="inlineStr">
        <is>
          <t>NET PROFIT (PAT)</t>
        </is>
      </c>
      <c r="C55" s="19" t="n">
        <v>12632</v>
      </c>
      <c r="D55" s="19" t="n">
        <v>9776</v>
      </c>
      <c r="E55" s="59">
        <f>D55-C55</f>
        <v/>
      </c>
      <c r="F55" s="60">
        <f>(D55-C55)/ABS(C55)</f>
        <v/>
      </c>
      <c r="G55" s="45" t="inlineStr">
        <is>
          <t>PAT Margin: 17.7% → 13.5%</t>
        </is>
      </c>
    </row>
    <row r="56" ht="18" customHeight="1">
      <c r="B56" s="25" t="inlineStr">
        <is>
          <t>Other Comprehensive Income</t>
        </is>
      </c>
      <c r="C56" s="26" t="n">
        <v>-30</v>
      </c>
      <c r="D56" s="26" t="n">
        <v>-79</v>
      </c>
      <c r="E56" s="49">
        <f>D56-C56</f>
        <v/>
      </c>
      <c r="F56" s="50">
        <f>(D56-C56)/ABS(C56)</f>
        <v/>
      </c>
      <c r="G56" s="51" t="inlineStr">
        <is>
          <t>Hedging + defined benefit remeasure</t>
        </is>
      </c>
    </row>
    <row r="57" ht="18" customHeight="1">
      <c r="B57" s="54" t="inlineStr">
        <is>
          <t>Total Comprehensive Income</t>
        </is>
      </c>
      <c r="C57" s="55" t="n">
        <v>12602</v>
      </c>
      <c r="D57" s="55" t="n">
        <v>9697</v>
      </c>
      <c r="E57" s="63">
        <f>D57-C57</f>
        <v/>
      </c>
      <c r="F57" s="64">
        <f>(D57-C57)/ABS(C57)</f>
        <v/>
      </c>
      <c r="G57" s="58" t="inlineStr"/>
    </row>
    <row r="58" ht="18" customHeight="1">
      <c r="B58" s="18" t="inlineStr">
        <is>
          <t>Basic &amp; Diluted EPS (INR)</t>
        </is>
      </c>
      <c r="C58" s="40" t="n">
        <v>26.12</v>
      </c>
      <c r="D58" s="40" t="n">
        <v>20.21</v>
      </c>
      <c r="E58" s="59">
        <f>D58-C58</f>
        <v/>
      </c>
      <c r="F58" s="60">
        <f>(D58-C58)/ABS(C58)</f>
        <v/>
      </c>
      <c r="G58" s="45" t="inlineStr">
        <is>
          <t>Shares: 483.7 Mn</t>
        </is>
      </c>
    </row>
  </sheetData>
  <mergeCells count="3">
    <mergeCell ref="B38:G38"/>
    <mergeCell ref="B2:G2"/>
    <mergeCell ref="B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</cols>
  <sheetData>
    <row r="2" ht="44" customHeight="1">
      <c r="B2" s="14" t="inlineStr">
        <is>
          <t xml:space="preserve">  COST STRUCTURE ANALYSIS  |  FY 2024–2025</t>
        </is>
      </c>
      <c r="C2" s="15" t="n"/>
      <c r="D2" s="15" t="n"/>
      <c r="E2" s="15" t="n"/>
      <c r="F2" s="15" t="n"/>
      <c r="G2" s="2" t="n"/>
    </row>
    <row r="3" ht="8" customHeight="1"/>
    <row r="4" ht="24" customHeight="1">
      <c r="B4" s="17" t="inlineStr">
        <is>
          <t xml:space="preserve">  TCS — COST BRIDGE (USD Mn + % of Revenue)</t>
        </is>
      </c>
      <c r="C4" s="15" t="n"/>
      <c r="D4" s="15" t="n"/>
      <c r="E4" s="15" t="n"/>
      <c r="F4" s="15" t="n"/>
      <c r="G4" s="2" t="n"/>
    </row>
    <row r="5" ht="28" customHeight="1">
      <c r="B5" s="16" t="inlineStr">
        <is>
          <t>Cost Item</t>
        </is>
      </c>
      <c r="C5" s="16" t="inlineStr">
        <is>
          <t>FY24
(USD Mn)</t>
        </is>
      </c>
      <c r="D5" s="16" t="inlineStr">
        <is>
          <t>FY24
(% Rev)</t>
        </is>
      </c>
      <c r="E5" s="16" t="inlineStr">
        <is>
          <t>FY25
(USD Mn)</t>
        </is>
      </c>
      <c r="F5" s="16" t="inlineStr">
        <is>
          <t>FY25
(% Rev)</t>
        </is>
      </c>
      <c r="G5" s="16" t="inlineStr">
        <is>
          <t>Δ bps
vs Rev</t>
        </is>
      </c>
    </row>
    <row r="6" ht="18" customHeight="1">
      <c r="B6" s="18" t="inlineStr">
        <is>
          <t>REVENUE</t>
        </is>
      </c>
      <c r="C6" s="19" t="n">
        <v>29080</v>
      </c>
      <c r="D6" s="29" t="n">
        <v>1</v>
      </c>
      <c r="E6" s="19" t="n">
        <v>30179</v>
      </c>
      <c r="F6" s="29" t="n">
        <v>1</v>
      </c>
      <c r="G6" s="67" t="n">
        <v>0</v>
      </c>
    </row>
    <row r="7" ht="18" customHeight="1">
      <c r="B7" s="54" t="inlineStr">
        <is>
          <t>Employee Cost (Total)</t>
        </is>
      </c>
      <c r="C7" s="55" t="n">
        <v>16917</v>
      </c>
      <c r="D7" s="65" t="n">
        <v>0.5817</v>
      </c>
      <c r="E7" s="55" t="n">
        <v>17233</v>
      </c>
      <c r="F7" s="65" t="n">
        <v>0.571</v>
      </c>
      <c r="G7" s="68" t="n">
        <v>-107</v>
      </c>
    </row>
    <row r="8" ht="18" customHeight="1">
      <c r="B8" s="25" t="inlineStr">
        <is>
          <t xml:space="preserve">  — Cost of Revenue</t>
        </is>
      </c>
      <c r="C8" s="26" t="n">
        <v>13188</v>
      </c>
      <c r="D8" s="28" t="n">
        <v>0.4535</v>
      </c>
      <c r="E8" s="26" t="n">
        <v>13668</v>
      </c>
      <c r="F8" s="28" t="n">
        <v>0.4529</v>
      </c>
      <c r="G8" s="69" t="n">
        <v>-6</v>
      </c>
    </row>
    <row r="9" ht="18" customHeight="1">
      <c r="B9" s="21" t="inlineStr">
        <is>
          <t xml:space="preserve">  — SG&amp;A</t>
        </is>
      </c>
      <c r="C9" s="38" t="n">
        <v>3729</v>
      </c>
      <c r="D9" s="24" t="n">
        <v>0.1282</v>
      </c>
      <c r="E9" s="38" t="n">
        <v>3565</v>
      </c>
      <c r="F9" s="24" t="n">
        <v>0.1181</v>
      </c>
      <c r="G9" s="69" t="n">
        <v>-101</v>
      </c>
    </row>
    <row r="10" ht="18" customHeight="1">
      <c r="B10" s="25" t="inlineStr">
        <is>
          <t>Subcontracting (Total)</t>
        </is>
      </c>
      <c r="C10" s="26" t="n">
        <v>1911</v>
      </c>
      <c r="D10" s="28" t="n">
        <v>0.06569999999999999</v>
      </c>
      <c r="E10" s="26" t="n">
        <v>1382</v>
      </c>
      <c r="F10" s="28" t="n">
        <v>0.0458</v>
      </c>
      <c r="G10" s="69" t="n">
        <v>-199</v>
      </c>
    </row>
    <row r="11" ht="18" customHeight="1">
      <c r="B11" s="21" t="inlineStr">
        <is>
          <t xml:space="preserve">  — Cost of Revenue</t>
        </is>
      </c>
      <c r="C11" s="38" t="n">
        <v>1810</v>
      </c>
      <c r="D11" s="24" t="n">
        <v>0.0622</v>
      </c>
      <c r="E11" s="38" t="n">
        <v>1305</v>
      </c>
      <c r="F11" s="24" t="n">
        <v>0.0432</v>
      </c>
      <c r="G11" s="69" t="n">
        <v>-190</v>
      </c>
    </row>
    <row r="12" ht="18" customHeight="1">
      <c r="B12" s="25" t="inlineStr">
        <is>
          <t xml:space="preserve">  — SG&amp;A</t>
        </is>
      </c>
      <c r="C12" s="26" t="n">
        <v>101</v>
      </c>
      <c r="D12" s="28" t="n">
        <v>0.0035</v>
      </c>
      <c r="E12" s="26" t="n">
        <v>77</v>
      </c>
      <c r="F12" s="28" t="n">
        <v>0.0026</v>
      </c>
      <c r="G12" s="69" t="n">
        <v>-9</v>
      </c>
    </row>
    <row r="13" ht="18" customHeight="1">
      <c r="B13" s="21" t="inlineStr">
        <is>
          <t>Equipment / Software</t>
        </is>
      </c>
      <c r="C13" s="38" t="n">
        <v>446</v>
      </c>
      <c r="D13" s="24" t="n">
        <v>0.0153</v>
      </c>
      <c r="E13" s="38" t="n">
        <v>1376</v>
      </c>
      <c r="F13" s="24" t="n">
        <v>0.0456</v>
      </c>
      <c r="G13" s="70" t="n">
        <v>303</v>
      </c>
    </row>
    <row r="14" ht="18" customHeight="1">
      <c r="B14" s="54" t="inlineStr">
        <is>
          <t>Depreciation (Total)</t>
        </is>
      </c>
      <c r="C14" s="55" t="n">
        <v>602</v>
      </c>
      <c r="D14" s="65" t="n">
        <v>0.0207</v>
      </c>
      <c r="E14" s="55" t="n">
        <v>619</v>
      </c>
      <c r="F14" s="65" t="n">
        <v>0.0205</v>
      </c>
      <c r="G14" s="68" t="n">
        <v>-2</v>
      </c>
    </row>
    <row r="15" ht="18" customHeight="1">
      <c r="B15" s="21" t="inlineStr">
        <is>
          <t xml:space="preserve">  — Cost of Revenue</t>
        </is>
      </c>
      <c r="C15" s="38" t="n">
        <v>461</v>
      </c>
      <c r="D15" s="24" t="n">
        <v>0.0159</v>
      </c>
      <c r="E15" s="38" t="n">
        <v>483</v>
      </c>
      <c r="F15" s="24" t="n">
        <v>0.016</v>
      </c>
      <c r="G15" s="70" t="n">
        <v>2</v>
      </c>
    </row>
    <row r="16" ht="18" customHeight="1">
      <c r="B16" s="25" t="inlineStr">
        <is>
          <t xml:space="preserve">  — SG&amp;A</t>
        </is>
      </c>
      <c r="C16" s="26" t="n">
        <v>141</v>
      </c>
      <c r="D16" s="28" t="n">
        <v>0.0048</v>
      </c>
      <c r="E16" s="26" t="n">
        <v>136</v>
      </c>
      <c r="F16" s="28" t="n">
        <v>0.0045</v>
      </c>
      <c r="G16" s="69" t="n">
        <v>-3</v>
      </c>
    </row>
    <row r="17" ht="18" customHeight="1">
      <c r="B17" s="21" t="inlineStr">
        <is>
          <t>Travel (Total)</t>
        </is>
      </c>
      <c r="C17" s="38" t="n">
        <v>359</v>
      </c>
      <c r="D17" s="24" t="n">
        <v>0.0123</v>
      </c>
      <c r="E17" s="38" t="n">
        <v>380</v>
      </c>
      <c r="F17" s="24" t="n">
        <v>0.0126</v>
      </c>
      <c r="G17" s="70" t="n">
        <v>2</v>
      </c>
    </row>
    <row r="18" ht="18" customHeight="1">
      <c r="B18" s="25" t="inlineStr">
        <is>
          <t>Facility Expenses (Total)</t>
        </is>
      </c>
      <c r="C18" s="26" t="n">
        <v>375</v>
      </c>
      <c r="D18" s="28" t="n">
        <v>0.0129</v>
      </c>
      <c r="E18" s="26" t="n">
        <v>408</v>
      </c>
      <c r="F18" s="28" t="n">
        <v>0.0135</v>
      </c>
      <c r="G18" s="70" t="n">
        <v>6</v>
      </c>
    </row>
    <row r="19" ht="18" customHeight="1">
      <c r="B19" s="21" t="inlineStr">
        <is>
          <t>Communication (Total)</t>
        </is>
      </c>
      <c r="C19" s="38" t="n">
        <v>273</v>
      </c>
      <c r="D19" s="24" t="n">
        <v>0.0094</v>
      </c>
      <c r="E19" s="38" t="n">
        <v>280</v>
      </c>
      <c r="F19" s="24" t="n">
        <v>0.009299999999999999</v>
      </c>
      <c r="G19" s="69" t="n">
        <v>-1</v>
      </c>
    </row>
    <row r="20" ht="18" customHeight="1">
      <c r="B20" s="25" t="inlineStr">
        <is>
          <t>Provision for Doubtful Debts</t>
        </is>
      </c>
      <c r="C20" s="26" t="n">
        <v>14</v>
      </c>
      <c r="D20" s="28" t="n">
        <v>0.0005</v>
      </c>
      <c r="E20" s="26" t="n">
        <v>15</v>
      </c>
      <c r="F20" s="28" t="n">
        <v>0.0005</v>
      </c>
      <c r="G20" s="71" t="n">
        <v>0</v>
      </c>
    </row>
    <row r="21" ht="18" customHeight="1">
      <c r="B21" s="21" t="inlineStr">
        <is>
          <t>Other Expenses (Total)</t>
        </is>
      </c>
      <c r="C21" s="38" t="n">
        <v>1025</v>
      </c>
      <c r="D21" s="24" t="n">
        <v>0.0352</v>
      </c>
      <c r="E21" s="38" t="n">
        <v>1138</v>
      </c>
      <c r="F21" s="24" t="n">
        <v>0.0377</v>
      </c>
      <c r="G21" s="70" t="n">
        <v>25</v>
      </c>
    </row>
    <row r="22" ht="18" customHeight="1">
      <c r="B22" s="54" t="inlineStr">
        <is>
          <t>TOTAL COSTS</t>
        </is>
      </c>
      <c r="C22" s="55" t="n">
        <v>21922</v>
      </c>
      <c r="D22" s="65" t="n">
        <v>0.7539</v>
      </c>
      <c r="E22" s="55" t="n">
        <v>22831</v>
      </c>
      <c r="F22" s="65" t="n">
        <v>0.7565</v>
      </c>
      <c r="G22" s="72" t="n">
        <v>27</v>
      </c>
    </row>
    <row r="23" ht="18" customHeight="1">
      <c r="B23" s="18" t="inlineStr">
        <is>
          <t>EBIT</t>
        </is>
      </c>
      <c r="C23" s="19" t="n">
        <v>7158</v>
      </c>
      <c r="D23" s="29" t="n">
        <v>0.2461</v>
      </c>
      <c r="E23" s="19" t="n">
        <v>7348</v>
      </c>
      <c r="F23" s="29" t="n">
        <v>0.2435</v>
      </c>
      <c r="G23" s="72" t="n">
        <v>-27</v>
      </c>
    </row>
    <row r="25" ht="24" customHeight="1">
      <c r="B25" s="17" t="inlineStr">
        <is>
          <t xml:space="preserve">  WIPRO ENTERPRISES (P) LTD — COST BRIDGE (INR Mn + % of Ops Revenue)</t>
        </is>
      </c>
      <c r="C25" s="15" t="n"/>
      <c r="D25" s="15" t="n"/>
      <c r="E25" s="15" t="n"/>
      <c r="F25" s="15" t="n"/>
      <c r="G25" s="2" t="n"/>
    </row>
    <row r="26" ht="28" customHeight="1">
      <c r="B26" s="16" t="inlineStr">
        <is>
          <t>Cost Item</t>
        </is>
      </c>
      <c r="C26" s="16" t="inlineStr">
        <is>
          <t>FY24
(INR Mn)</t>
        </is>
      </c>
      <c r="D26" s="16" t="inlineStr">
        <is>
          <t>FY24
(% OpRev)</t>
        </is>
      </c>
      <c r="E26" s="16" t="inlineStr">
        <is>
          <t>FY25
(INR Mn)</t>
        </is>
      </c>
      <c r="F26" s="16" t="inlineStr">
        <is>
          <t>FY25
(% OpRev)</t>
        </is>
      </c>
      <c r="G26" s="16" t="inlineStr">
        <is>
          <t>Δ bps
vs Rev</t>
        </is>
      </c>
    </row>
    <row r="27" ht="18" customHeight="1">
      <c r="B27" s="18" t="inlineStr">
        <is>
          <t>REVENUE FROM OPERATIONS</t>
        </is>
      </c>
      <c r="C27" s="19" t="n">
        <v>71475</v>
      </c>
      <c r="D27" s="29" t="n">
        <v>1</v>
      </c>
      <c r="E27" s="19" t="n">
        <v>72308</v>
      </c>
      <c r="F27" s="29" t="n">
        <v>1</v>
      </c>
      <c r="G27" s="67" t="n">
        <v>0</v>
      </c>
    </row>
    <row r="28" ht="18" customHeight="1">
      <c r="B28" s="21" t="inlineStr">
        <is>
          <t>Cost of Materials</t>
        </is>
      </c>
      <c r="C28" s="38" t="n">
        <v>38297</v>
      </c>
      <c r="D28" s="24" t="n">
        <v>0.5358000000000001</v>
      </c>
      <c r="E28" s="38" t="n">
        <v>39567</v>
      </c>
      <c r="F28" s="24" t="n">
        <v>0.5472</v>
      </c>
      <c r="G28" s="70" t="n">
        <v>114</v>
      </c>
    </row>
    <row r="29" ht="18" customHeight="1">
      <c r="B29" s="25" t="inlineStr">
        <is>
          <t>Purchases Stock-in-Trade</t>
        </is>
      </c>
      <c r="C29" s="26" t="n">
        <v>530</v>
      </c>
      <c r="D29" s="28" t="n">
        <v>0.0074</v>
      </c>
      <c r="E29" s="26" t="n">
        <v>1434</v>
      </c>
      <c r="F29" s="28" t="n">
        <v>0.0198</v>
      </c>
      <c r="G29" s="70" t="n">
        <v>124</v>
      </c>
    </row>
    <row r="30" ht="18" customHeight="1">
      <c r="B30" s="21" t="inlineStr">
        <is>
          <t>Change in Inventories</t>
        </is>
      </c>
      <c r="C30" s="38" t="n">
        <v>697</v>
      </c>
      <c r="D30" s="24" t="n">
        <v>0.0098</v>
      </c>
      <c r="E30" s="38" t="n">
        <v>-293</v>
      </c>
      <c r="F30" s="24" t="n">
        <v>-0.0041</v>
      </c>
      <c r="G30" s="69" t="n">
        <v>-138</v>
      </c>
    </row>
    <row r="31" ht="18" customHeight="1">
      <c r="B31" s="25" t="inlineStr">
        <is>
          <t>Employee Benefits</t>
        </is>
      </c>
      <c r="C31" s="26" t="n">
        <v>6264</v>
      </c>
      <c r="D31" s="28" t="n">
        <v>0.0876</v>
      </c>
      <c r="E31" s="26" t="n">
        <v>6467</v>
      </c>
      <c r="F31" s="28" t="n">
        <v>0.08939999999999999</v>
      </c>
      <c r="G31" s="70" t="n">
        <v>18</v>
      </c>
    </row>
    <row r="32" ht="18" customHeight="1">
      <c r="B32" s="21" t="inlineStr">
        <is>
          <t>Finance Costs</t>
        </is>
      </c>
      <c r="C32" s="38" t="n">
        <v>1478</v>
      </c>
      <c r="D32" s="24" t="n">
        <v>0.0207</v>
      </c>
      <c r="E32" s="38" t="n">
        <v>2223</v>
      </c>
      <c r="F32" s="24" t="n">
        <v>0.0307</v>
      </c>
      <c r="G32" s="70" t="n">
        <v>101</v>
      </c>
    </row>
    <row r="33" ht="18" customHeight="1">
      <c r="B33" s="25" t="inlineStr">
        <is>
          <t>Depreciation &amp; Amort.</t>
        </is>
      </c>
      <c r="C33" s="26" t="n">
        <v>1830</v>
      </c>
      <c r="D33" s="28" t="n">
        <v>0.0256</v>
      </c>
      <c r="E33" s="26" t="n">
        <v>1311</v>
      </c>
      <c r="F33" s="28" t="n">
        <v>0.0181</v>
      </c>
      <c r="G33" s="69" t="n">
        <v>-75</v>
      </c>
    </row>
    <row r="34" ht="18" customHeight="1">
      <c r="B34" s="21" t="inlineStr">
        <is>
          <t>Other Expenses</t>
        </is>
      </c>
      <c r="C34" s="38" t="n">
        <v>15955</v>
      </c>
      <c r="D34" s="24" t="n">
        <v>0.2232</v>
      </c>
      <c r="E34" s="38" t="n">
        <v>17784</v>
      </c>
      <c r="F34" s="24" t="n">
        <v>0.2459</v>
      </c>
      <c r="G34" s="70" t="n">
        <v>227</v>
      </c>
    </row>
    <row r="35" ht="18" customHeight="1">
      <c r="B35" s="54" t="inlineStr">
        <is>
          <t>TOTAL EXPENSES</t>
        </is>
      </c>
      <c r="C35" s="55" t="n">
        <v>65051</v>
      </c>
      <c r="D35" s="65" t="n">
        <v>0.9101</v>
      </c>
      <c r="E35" s="55" t="n">
        <v>68493</v>
      </c>
      <c r="F35" s="65" t="n">
        <v>0.9472</v>
      </c>
      <c r="G35" s="72" t="n">
        <v>371</v>
      </c>
    </row>
    <row r="36" ht="18" customHeight="1">
      <c r="B36" s="18" t="inlineStr">
        <is>
          <t>PROFIT BEFORE TAX</t>
        </is>
      </c>
      <c r="C36" s="19" t="n">
        <v>16007</v>
      </c>
      <c r="D36" s="29" t="n">
        <v>0.224</v>
      </c>
      <c r="E36" s="19" t="n">
        <v>13006</v>
      </c>
      <c r="F36" s="29" t="n">
        <v>0.1799</v>
      </c>
      <c r="G36" s="72" t="n">
        <v>-441</v>
      </c>
    </row>
  </sheetData>
  <mergeCells count="3">
    <mergeCell ref="B2:G2"/>
    <mergeCell ref="B4:G4"/>
    <mergeCell ref="B25:G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" customWidth="1" min="8" max="8"/>
  </cols>
  <sheetData>
    <row r="2" ht="44" customHeight="1">
      <c r="B2" s="14" t="inlineStr">
        <is>
          <t xml:space="preserve">  MARGIN PROFILE  |  FY 2024–2025</t>
        </is>
      </c>
      <c r="C2" s="15" t="n"/>
      <c r="D2" s="15" t="n"/>
      <c r="E2" s="15" t="n"/>
      <c r="F2" s="15" t="n"/>
      <c r="G2" s="2" t="n"/>
    </row>
    <row r="3" ht="8" customHeight="1"/>
    <row r="4" ht="24" customHeight="1">
      <c r="B4" s="17" t="inlineStr">
        <is>
          <t xml:space="preserve">  TCS — MARGIN ANALYSIS (USD Mn)</t>
        </is>
      </c>
      <c r="C4" s="15" t="n"/>
      <c r="D4" s="15" t="n"/>
      <c r="E4" s="15" t="n"/>
      <c r="F4" s="15" t="n"/>
      <c r="G4" s="2" t="n"/>
    </row>
    <row r="5" ht="28" customHeight="1">
      <c r="B5" s="16" t="inlineStr">
        <is>
          <t>Metric</t>
        </is>
      </c>
      <c r="C5" s="16" t="inlineStr">
        <is>
          <t>FY24</t>
        </is>
      </c>
      <c r="D5" s="16" t="inlineStr">
        <is>
          <t>FY25</t>
        </is>
      </c>
      <c r="E5" s="16" t="inlineStr">
        <is>
          <t>Δ (bps or USD Mn)</t>
        </is>
      </c>
      <c r="F5" s="16" t="inlineStr">
        <is>
          <t>FY25 Commentary</t>
        </is>
      </c>
    </row>
    <row r="6" ht="18" customHeight="1">
      <c r="B6" s="18" t="inlineStr">
        <is>
          <t>Revenue (USD Mn)</t>
        </is>
      </c>
      <c r="C6" s="19" t="n">
        <v>29080</v>
      </c>
      <c r="D6" s="19" t="n">
        <v>30179</v>
      </c>
      <c r="E6" s="73">
        <f>D6-C6</f>
        <v/>
      </c>
      <c r="F6" s="74" t="inlineStr">
        <is>
          <t>+3.8% YoY. Positive growth despite macro headwinds.</t>
        </is>
      </c>
    </row>
    <row r="7" ht="18" customHeight="1">
      <c r="B7" s="21" t="inlineStr">
        <is>
          <t>Gross Profit (USD Mn)</t>
        </is>
      </c>
      <c r="C7" s="38" t="n">
        <v>11745</v>
      </c>
      <c r="D7" s="38" t="n">
        <v>11741</v>
      </c>
      <c r="E7" s="75">
        <f>D7-C7</f>
        <v/>
      </c>
      <c r="F7" s="76" t="inlineStr">
        <is>
          <t>Flat; higher CoR from equipment cost spike.</t>
        </is>
      </c>
    </row>
    <row r="8" ht="18" customHeight="1">
      <c r="B8" s="25" t="inlineStr">
        <is>
          <t>Gross Margin</t>
        </is>
      </c>
      <c r="C8" s="28" t="n">
        <v>0.4039</v>
      </c>
      <c r="D8" s="28" t="n">
        <v>0.3892</v>
      </c>
      <c r="E8" s="70" t="n">
        <v>-147</v>
      </c>
      <c r="F8" s="77" t="inlineStr">
        <is>
          <t>Compressed 147 bps; equipment cost impact.</t>
        </is>
      </c>
    </row>
    <row r="9" ht="18" customHeight="1">
      <c r="B9" s="21" t="inlineStr">
        <is>
          <t>EBIT (USD Mn)</t>
        </is>
      </c>
      <c r="C9" s="38" t="n">
        <v>7158</v>
      </c>
      <c r="D9" s="38" t="n">
        <v>7348</v>
      </c>
      <c r="E9" s="75">
        <f>D9-C9</f>
        <v/>
      </c>
      <c r="F9" s="76" t="inlineStr">
        <is>
          <t>+2.7% growth.</t>
        </is>
      </c>
    </row>
    <row r="10" ht="18" customHeight="1">
      <c r="B10" s="18" t="inlineStr">
        <is>
          <t>EBIT Margin</t>
        </is>
      </c>
      <c r="C10" s="29" t="n">
        <v>0.2461</v>
      </c>
      <c r="D10" s="29" t="n">
        <v>0.2435</v>
      </c>
      <c r="E10" s="72" t="n">
        <v>-26</v>
      </c>
      <c r="F10" s="74" t="inlineStr">
        <is>
          <t>Slight compression (-26 bps); SG&amp;A efficiency offset.</t>
        </is>
      </c>
    </row>
    <row r="11" ht="18" customHeight="1">
      <c r="B11" s="21" t="inlineStr">
        <is>
          <t>EBITDA (USD Mn)</t>
        </is>
      </c>
      <c r="C11" s="38" t="n">
        <v>7760</v>
      </c>
      <c r="D11" s="38" t="n">
        <v>7967</v>
      </c>
      <c r="E11" s="75">
        <f>D11-C11</f>
        <v/>
      </c>
      <c r="F11" s="76" t="inlineStr">
        <is>
          <t>D&amp;A: +17 Mn YoY (ROU lease assets).</t>
        </is>
      </c>
    </row>
    <row r="12" ht="18" customHeight="1">
      <c r="B12" s="18" t="inlineStr">
        <is>
          <t>EBITDA Margin</t>
        </is>
      </c>
      <c r="C12" s="29" t="n">
        <v>0.2668</v>
      </c>
      <c r="D12" s="29" t="n">
        <v>0.2639</v>
      </c>
      <c r="E12" s="72" t="n">
        <v>-29</v>
      </c>
      <c r="F12" s="74" t="inlineStr">
        <is>
          <t>Best-in-class; stable above 26%.</t>
        </is>
      </c>
    </row>
    <row r="13" ht="18" customHeight="1">
      <c r="B13" s="21" t="inlineStr">
        <is>
          <t>Net Profit / PAT</t>
        </is>
      </c>
      <c r="C13" s="38" t="n">
        <v>5623</v>
      </c>
      <c r="D13" s="38" t="n">
        <v>5739</v>
      </c>
      <c r="E13" s="75">
        <f>D13-C13</f>
        <v/>
      </c>
      <c r="F13" s="76" t="inlineStr">
        <is>
          <t>+2.1% YoY growth.</t>
        </is>
      </c>
    </row>
    <row r="14" ht="18" customHeight="1">
      <c r="B14" s="25" t="inlineStr">
        <is>
          <t>Net Profit Margin</t>
        </is>
      </c>
      <c r="C14" s="28" t="n">
        <v>0.1933</v>
      </c>
      <c r="D14" s="28" t="n">
        <v>0.1901</v>
      </c>
      <c r="E14" s="70" t="n">
        <v>-32</v>
      </c>
      <c r="F14" s="77" t="inlineStr">
        <is>
          <t>19.0%; top-tier for sector.</t>
        </is>
      </c>
    </row>
    <row r="15" ht="18" customHeight="1">
      <c r="B15" s="21" t="inlineStr">
        <is>
          <t>Effective Tax Rate</t>
        </is>
      </c>
      <c r="C15" s="24" t="n">
        <v>0.258</v>
      </c>
      <c r="D15" s="24" t="n">
        <v>0.253</v>
      </c>
      <c r="E15" s="69" t="n">
        <v>50</v>
      </c>
      <c r="F15" s="76" t="inlineStr">
        <is>
          <t>Marginal improvement.</t>
        </is>
      </c>
    </row>
    <row r="16" ht="18" customHeight="1">
      <c r="B16" s="25" t="inlineStr">
        <is>
          <t>D&amp;A (Total, USD Mn)</t>
        </is>
      </c>
      <c r="C16" s="26" t="n">
        <v>602</v>
      </c>
      <c r="D16" s="26" t="n">
        <v>619</v>
      </c>
      <c r="E16" s="78">
        <f>D16-C16</f>
        <v/>
      </c>
      <c r="F16" s="77" t="inlineStr">
        <is>
          <t>Capex investment in data centres.</t>
        </is>
      </c>
    </row>
    <row r="17" ht="18" customHeight="1">
      <c r="B17" s="21" t="inlineStr">
        <is>
          <t>Employee Cost % Rev</t>
        </is>
      </c>
      <c r="C17" s="24" t="n">
        <v>0.5818</v>
      </c>
      <c r="D17" s="24" t="n">
        <v>0.5712</v>
      </c>
      <c r="E17" s="70" t="n">
        <v>-106</v>
      </c>
      <c r="F17" s="76" t="inlineStr">
        <is>
          <t>Improving; productivity gains via AI tooling.</t>
        </is>
      </c>
    </row>
    <row r="18" ht="18" customHeight="1">
      <c r="B18" s="18" t="inlineStr">
        <is>
          <t>SG&amp;A % Revenue</t>
        </is>
      </c>
      <c r="C18" s="29" t="n">
        <v>0.1577</v>
      </c>
      <c r="D18" s="29" t="n">
        <v>0.1456</v>
      </c>
      <c r="E18" s="72" t="n">
        <v>-121</v>
      </c>
      <c r="F18" s="74" t="inlineStr">
        <is>
          <t>Strong SG&amp;A leverage — key efficiency driver.</t>
        </is>
      </c>
    </row>
    <row r="19" ht="18" customHeight="1">
      <c r="B19" s="21" t="inlineStr">
        <is>
          <t>FCF Margin (est.)</t>
        </is>
      </c>
      <c r="C19" s="24" t="n">
        <v>0.1793</v>
      </c>
      <c r="D19" s="24" t="n">
        <v>0.1662</v>
      </c>
      <c r="E19" s="70" t="n">
        <v>-131</v>
      </c>
      <c r="F19" s="76" t="inlineStr">
        <is>
          <t>FCF ~$5.0 Bn; capex absorbed some upside.</t>
        </is>
      </c>
    </row>
    <row r="21" ht="24" customHeight="1">
      <c r="B21" s="17" t="inlineStr">
        <is>
          <t xml:space="preserve">  WIPRO ENTERPRISES (P) LTD — MARGIN ANALYSIS (INR Mn)</t>
        </is>
      </c>
      <c r="C21" s="15" t="n"/>
      <c r="D21" s="15" t="n"/>
      <c r="E21" s="15" t="n"/>
      <c r="F21" s="15" t="n"/>
      <c r="G21" s="2" t="n"/>
    </row>
    <row r="22" ht="28" customHeight="1">
      <c r="B22" s="16" t="inlineStr">
        <is>
          <t>Metric</t>
        </is>
      </c>
      <c r="C22" s="16" t="inlineStr">
        <is>
          <t>FY24</t>
        </is>
      </c>
      <c r="D22" s="16" t="inlineStr">
        <is>
          <t>FY25</t>
        </is>
      </c>
      <c r="E22" s="16" t="inlineStr">
        <is>
          <t>Δ (bps or INR Mn)</t>
        </is>
      </c>
      <c r="F22" s="16" t="inlineStr">
        <is>
          <t>FY25 Commentary</t>
        </is>
      </c>
    </row>
    <row r="23" ht="18" customHeight="1">
      <c r="B23" s="18" t="inlineStr">
        <is>
          <t>Revenue from Operations (INR Mn)</t>
        </is>
      </c>
      <c r="C23" s="19" t="n">
        <v>71475</v>
      </c>
      <c r="D23" s="19" t="n">
        <v>72308</v>
      </c>
      <c r="E23" s="73">
        <f>D23-C23</f>
        <v/>
      </c>
      <c r="F23" s="74" t="inlineStr">
        <is>
          <t>+1.2% YoY; modest growth</t>
        </is>
      </c>
    </row>
    <row r="24" ht="18" customHeight="1">
      <c r="B24" s="21" t="inlineStr">
        <is>
          <t>PBT (INR Mn)</t>
        </is>
      </c>
      <c r="C24" s="38" t="n">
        <v>16007</v>
      </c>
      <c r="D24" s="38" t="n">
        <v>13006</v>
      </c>
      <c r="E24" s="75">
        <f>D24-C24</f>
        <v/>
      </c>
      <c r="F24" s="76" t="inlineStr">
        <is>
          <t>-18.7%; higher finance costs &amp; other exp.</t>
        </is>
      </c>
    </row>
    <row r="25" ht="18" customHeight="1">
      <c r="B25" s="18" t="inlineStr">
        <is>
          <t>PBT Margin</t>
        </is>
      </c>
      <c r="C25" s="29" t="n">
        <v>0.224</v>
      </c>
      <c r="D25" s="29" t="n">
        <v>0.1799</v>
      </c>
      <c r="E25" s="72" t="n">
        <v>-441</v>
      </c>
      <c r="F25" s="74" t="inlineStr">
        <is>
          <t>Significant compression; finance costs +50%</t>
        </is>
      </c>
    </row>
    <row r="26" ht="18" customHeight="1">
      <c r="B26" s="21" t="inlineStr">
        <is>
          <t>PAT (INR Mn)</t>
        </is>
      </c>
      <c r="C26" s="38" t="n">
        <v>12632</v>
      </c>
      <c r="D26" s="38" t="n">
        <v>9776</v>
      </c>
      <c r="E26" s="75">
        <f>D26-C26</f>
        <v/>
      </c>
      <c r="F26" s="76" t="inlineStr">
        <is>
          <t>-22.6% drop; lower PBT + higher tax rate</t>
        </is>
      </c>
    </row>
    <row r="27" ht="18" customHeight="1">
      <c r="B27" s="18" t="inlineStr">
        <is>
          <t>Net Profit Margin</t>
        </is>
      </c>
      <c r="C27" s="29" t="n">
        <v>0.1768</v>
      </c>
      <c r="D27" s="29" t="n">
        <v>0.1352</v>
      </c>
      <c r="E27" s="72" t="n">
        <v>-416</v>
      </c>
      <c r="F27" s="74" t="inlineStr">
        <is>
          <t>From 17.7% to 13.5% — notable deterioration</t>
        </is>
      </c>
    </row>
    <row r="28" ht="18" customHeight="1">
      <c r="B28" s="21" t="inlineStr">
        <is>
          <t>Effective Tax Rate</t>
        </is>
      </c>
      <c r="C28" s="24" t="n">
        <v>0.2108</v>
      </c>
      <c r="D28" s="24" t="n">
        <v>0.2483</v>
      </c>
      <c r="E28" s="70" t="n">
        <v>375</v>
      </c>
      <c r="F28" s="76" t="inlineStr">
        <is>
          <t>Tax rate rose 375 bps in FY25</t>
        </is>
      </c>
    </row>
    <row r="29" ht="18" customHeight="1">
      <c r="B29" s="25" t="inlineStr">
        <is>
          <t>Finance Costs % Rev</t>
        </is>
      </c>
      <c r="C29" s="28" t="n">
        <v>0.0207</v>
      </c>
      <c r="D29" s="28" t="n">
        <v>0.0307</v>
      </c>
      <c r="E29" s="70" t="n">
        <v>100</v>
      </c>
      <c r="F29" s="77" t="inlineStr">
        <is>
          <t>Borrowings nearly doubled; interest pressure</t>
        </is>
      </c>
    </row>
    <row r="30" ht="18" customHeight="1">
      <c r="B30" s="21" t="inlineStr">
        <is>
          <t>D&amp;A % Revenue</t>
        </is>
      </c>
      <c r="C30" s="24" t="n">
        <v>0.0256</v>
      </c>
      <c r="D30" s="24" t="n">
        <v>0.0181</v>
      </c>
      <c r="E30" s="70" t="n">
        <v>-75</v>
      </c>
      <c r="F30" s="76" t="inlineStr">
        <is>
          <t>Lower D&amp;A; asset disposals / reclassification</t>
        </is>
      </c>
    </row>
    <row r="31" ht="18" customHeight="1">
      <c r="B31" s="25" t="inlineStr">
        <is>
          <t>Employee Cost % Rev</t>
        </is>
      </c>
      <c r="C31" s="28" t="n">
        <v>0.0877</v>
      </c>
      <c r="D31" s="28" t="n">
        <v>0.08939999999999999</v>
      </c>
      <c r="E31" s="70" t="n">
        <v>17</v>
      </c>
      <c r="F31" s="77" t="inlineStr">
        <is>
          <t>Broadly stable</t>
        </is>
      </c>
    </row>
    <row r="32" ht="18" customHeight="1">
      <c r="B32" s="21" t="inlineStr">
        <is>
          <t>Materials Cost % Rev</t>
        </is>
      </c>
      <c r="C32" s="24" t="n">
        <v>0.5358000000000001</v>
      </c>
      <c r="D32" s="24" t="n">
        <v>0.5471</v>
      </c>
      <c r="E32" s="70" t="n">
        <v>113</v>
      </c>
      <c r="F32" s="76" t="inlineStr">
        <is>
          <t>Input cost inflation</t>
        </is>
      </c>
    </row>
    <row r="33" ht="18" customHeight="1">
      <c r="B33" s="25" t="inlineStr">
        <is>
          <t>Other Expenses % Rev</t>
        </is>
      </c>
      <c r="C33" s="28" t="n">
        <v>0.2232</v>
      </c>
      <c r="D33" s="28" t="n">
        <v>0.2459</v>
      </c>
      <c r="E33" s="70" t="n">
        <v>227</v>
      </c>
      <c r="F33" s="77" t="inlineStr">
        <is>
          <t>Distribution, selling, admin spend up</t>
        </is>
      </c>
    </row>
  </sheetData>
  <mergeCells count="30">
    <mergeCell ref="B2:G2"/>
    <mergeCell ref="F18:H18"/>
    <mergeCell ref="F33:H33"/>
    <mergeCell ref="F32:H32"/>
    <mergeCell ref="F8:H8"/>
    <mergeCell ref="F26:H26"/>
    <mergeCell ref="F17:H17"/>
    <mergeCell ref="F23:H23"/>
    <mergeCell ref="F28:H28"/>
    <mergeCell ref="F13:H13"/>
    <mergeCell ref="F31:H31"/>
    <mergeCell ref="F27:H27"/>
    <mergeCell ref="F30:H30"/>
    <mergeCell ref="F9:H9"/>
    <mergeCell ref="F14:H14"/>
    <mergeCell ref="F7:H7"/>
    <mergeCell ref="G5:H5"/>
    <mergeCell ref="B4:G4"/>
    <mergeCell ref="F29:H29"/>
    <mergeCell ref="F11:H11"/>
    <mergeCell ref="F25:H25"/>
    <mergeCell ref="F10:H10"/>
    <mergeCell ref="F16:H16"/>
    <mergeCell ref="F6:H6"/>
    <mergeCell ref="F19:H19"/>
    <mergeCell ref="F12:H12"/>
    <mergeCell ref="G22:H22"/>
    <mergeCell ref="B21:G21"/>
    <mergeCell ref="F15:H15"/>
    <mergeCell ref="F24:H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0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</cols>
  <sheetData>
    <row r="2" ht="44" customHeight="1">
      <c r="B2" s="14" t="inlineStr">
        <is>
          <t xml:space="preserve">  BALANCE SHEET  |  FY 2024–2025</t>
        </is>
      </c>
      <c r="C2" s="15" t="n"/>
      <c r="D2" s="15" t="n"/>
      <c r="E2" s="15" t="n"/>
      <c r="F2" s="2" t="n"/>
    </row>
    <row r="3" ht="8" customHeight="1"/>
    <row r="4" ht="24" customHeight="1">
      <c r="B4" s="17" t="inlineStr">
        <is>
          <t xml:space="preserve">  TCS — CONSOLIDATED BALANCE SHEET (USD Mn, IFRS)</t>
        </is>
      </c>
      <c r="C4" s="15" t="n"/>
      <c r="D4" s="15" t="n"/>
      <c r="E4" s="15" t="n"/>
      <c r="F4" s="2" t="n"/>
    </row>
    <row r="5" ht="28" customHeight="1">
      <c r="B5" s="16" t="inlineStr">
        <is>
          <t>Line Item</t>
        </is>
      </c>
      <c r="C5" s="16" t="inlineStr">
        <is>
          <t>FY24
(Actual)</t>
        </is>
      </c>
      <c r="D5" s="16" t="inlineStr">
        <is>
          <t>FY25
(Actual)</t>
        </is>
      </c>
      <c r="E5" s="16" t="inlineStr">
        <is>
          <t>YoY Δ</t>
        </is>
      </c>
      <c r="F5" s="16" t="inlineStr">
        <is>
          <t>YoY Δ %</t>
        </is>
      </c>
    </row>
    <row r="6" ht="18" customHeight="1">
      <c r="B6" s="17" t="inlineStr">
        <is>
          <t xml:space="preserve">  ASSETS</t>
        </is>
      </c>
      <c r="C6" s="15" t="n"/>
      <c r="D6" s="15" t="n"/>
      <c r="E6" s="15" t="n"/>
      <c r="F6" s="2" t="n"/>
    </row>
    <row r="7" ht="18" customHeight="1">
      <c r="B7" s="79" t="inlineStr">
        <is>
          <t xml:space="preserve">  Current Assets</t>
        </is>
      </c>
      <c r="C7" s="80" t="n"/>
    </row>
    <row r="8" ht="18" customHeight="1">
      <c r="B8" s="25" t="inlineStr">
        <is>
          <t xml:space="preserve">  Cash and Cash Equivalents</t>
        </is>
      </c>
      <c r="C8" s="26" t="n">
        <v>1081</v>
      </c>
      <c r="D8" s="26" t="n">
        <v>976</v>
      </c>
      <c r="E8" s="49">
        <f>D8-C8</f>
        <v/>
      </c>
      <c r="F8" s="50">
        <f>(D8-C8)/ABS(C8)</f>
        <v/>
      </c>
    </row>
    <row r="9" ht="18" customHeight="1">
      <c r="B9" s="21" t="inlineStr">
        <is>
          <t xml:space="preserve">  Bank Deposits (Current)</t>
        </is>
      </c>
      <c r="C9" s="38" t="n">
        <v>456</v>
      </c>
      <c r="D9" s="38" t="n">
        <v>727</v>
      </c>
      <c r="E9" s="46">
        <f>D9-C9</f>
        <v/>
      </c>
      <c r="F9" s="47">
        <f>(D9-C9)/ABS(C9)</f>
        <v/>
      </c>
    </row>
    <row r="10" ht="18" customHeight="1">
      <c r="B10" s="25" t="inlineStr">
        <is>
          <t xml:space="preserve">  Investments (Current)</t>
        </is>
      </c>
      <c r="C10" s="26" t="n">
        <v>3776</v>
      </c>
      <c r="D10" s="26" t="n">
        <v>3592</v>
      </c>
      <c r="E10" s="49">
        <f>D10-C10</f>
        <v/>
      </c>
      <c r="F10" s="50">
        <f>(D10-C10)/ABS(C10)</f>
        <v/>
      </c>
    </row>
    <row r="11" ht="18" customHeight="1">
      <c r="B11" s="21" t="inlineStr">
        <is>
          <t xml:space="preserve">  Trade Receivables</t>
        </is>
      </c>
      <c r="C11" s="38" t="n">
        <v>5328</v>
      </c>
      <c r="D11" s="38" t="n">
        <v>5869</v>
      </c>
      <c r="E11" s="46">
        <f>D11-C11</f>
        <v/>
      </c>
      <c r="F11" s="47">
        <f>(D11-C11)/ABS(C11)</f>
        <v/>
      </c>
    </row>
    <row r="12" ht="18" customHeight="1">
      <c r="B12" s="25" t="inlineStr">
        <is>
          <t xml:space="preserve">  Unbilled Receivables</t>
        </is>
      </c>
      <c r="C12" s="26" t="n">
        <v>1096</v>
      </c>
      <c r="D12" s="26" t="n">
        <v>1042</v>
      </c>
      <c r="E12" s="49">
        <f>D12-C12</f>
        <v/>
      </c>
      <c r="F12" s="50">
        <f>(D12-C12)/ABS(C12)</f>
        <v/>
      </c>
    </row>
    <row r="13" ht="18" customHeight="1">
      <c r="B13" s="21" t="inlineStr">
        <is>
          <t xml:space="preserve">  Other Current Financial Assets</t>
        </is>
      </c>
      <c r="C13" s="38" t="n">
        <v>320</v>
      </c>
      <c r="D13" s="38" t="n">
        <v>428</v>
      </c>
      <c r="E13" s="46">
        <f>D13-C13</f>
        <v/>
      </c>
      <c r="F13" s="47">
        <f>(D13-C13)/ABS(C13)</f>
        <v/>
      </c>
    </row>
    <row r="14" ht="18" customHeight="1">
      <c r="B14" s="25" t="inlineStr">
        <is>
          <t xml:space="preserve">  Current Tax Assets</t>
        </is>
      </c>
      <c r="C14" s="26" t="n">
        <v>18</v>
      </c>
      <c r="D14" s="26" t="n">
        <v>30</v>
      </c>
      <c r="E14" s="52">
        <f>D14-C14</f>
        <v/>
      </c>
      <c r="F14" s="53">
        <f>(D14-C14)/ABS(C14)</f>
        <v/>
      </c>
    </row>
    <row r="15" ht="18" customHeight="1">
      <c r="B15" s="21" t="inlineStr">
        <is>
          <t xml:space="preserve">  Other Current Assets</t>
        </is>
      </c>
      <c r="C15" s="38" t="n">
        <v>1475</v>
      </c>
      <c r="D15" s="38" t="n">
        <v>1730</v>
      </c>
      <c r="E15" s="46">
        <f>D15-C15</f>
        <v/>
      </c>
      <c r="F15" s="47">
        <f>(D15-C15)/ABS(C15)</f>
        <v/>
      </c>
    </row>
    <row r="16" ht="18" customHeight="1">
      <c r="B16" s="54" t="inlineStr">
        <is>
          <t>Total Current Assets</t>
        </is>
      </c>
      <c r="C16" s="55" t="n">
        <v>13550</v>
      </c>
      <c r="D16" s="55" t="n">
        <v>14394</v>
      </c>
      <c r="E16" s="56">
        <f>D16-C16</f>
        <v/>
      </c>
      <c r="F16" s="57">
        <f>(D16-C16)/ABS(C16)</f>
        <v/>
      </c>
    </row>
    <row r="17" ht="18" customHeight="1">
      <c r="B17" s="79" t="inlineStr">
        <is>
          <t xml:space="preserve">  Non-Current Assets</t>
        </is>
      </c>
      <c r="C17" s="80" t="n"/>
    </row>
    <row r="18" ht="18" customHeight="1">
      <c r="B18" s="25" t="inlineStr">
        <is>
          <t xml:space="preserve">  Property, Plant &amp; Equipment</t>
        </is>
      </c>
      <c r="C18" s="26" t="n">
        <v>1346</v>
      </c>
      <c r="D18" s="26" t="n">
        <v>1514</v>
      </c>
      <c r="E18" s="52">
        <f>D18-C18</f>
        <v/>
      </c>
      <c r="F18" s="53">
        <f>(D18-C18)/ABS(C18)</f>
        <v/>
      </c>
    </row>
    <row r="19" ht="18" customHeight="1">
      <c r="B19" s="21" t="inlineStr">
        <is>
          <t xml:space="preserve">  Right-of-Use Assets</t>
        </is>
      </c>
      <c r="C19" s="38" t="n">
        <v>946</v>
      </c>
      <c r="D19" s="38" t="n">
        <v>1086</v>
      </c>
      <c r="E19" s="46">
        <f>D19-C19</f>
        <v/>
      </c>
      <c r="F19" s="47">
        <f>(D19-C19)/ABS(C19)</f>
        <v/>
      </c>
    </row>
    <row r="20" ht="18" customHeight="1">
      <c r="B20" s="25" t="inlineStr">
        <is>
          <t xml:space="preserve">  Goodwill</t>
        </is>
      </c>
      <c r="C20" s="26" t="n">
        <v>478</v>
      </c>
      <c r="D20" s="26" t="n">
        <v>471</v>
      </c>
      <c r="E20" s="49">
        <f>D20-C20</f>
        <v/>
      </c>
      <c r="F20" s="50">
        <f>(D20-C20)/ABS(C20)</f>
        <v/>
      </c>
    </row>
    <row r="21" ht="18" customHeight="1">
      <c r="B21" s="21" t="inlineStr">
        <is>
          <t xml:space="preserve">  Other Intangible Assets</t>
        </is>
      </c>
      <c r="C21" s="38" t="n">
        <v>61</v>
      </c>
      <c r="D21" s="38" t="n">
        <v>109</v>
      </c>
      <c r="E21" s="46">
        <f>D21-C21</f>
        <v/>
      </c>
      <c r="F21" s="47">
        <f>(D21-C21)/ABS(C21)</f>
        <v/>
      </c>
    </row>
    <row r="22" ht="18" customHeight="1">
      <c r="B22" s="25" t="inlineStr">
        <is>
          <t xml:space="preserve">  Bank Deposits (Non-Current)</t>
        </is>
      </c>
      <c r="C22" s="26" t="n">
        <v>270</v>
      </c>
      <c r="D22" s="26" t="n">
        <v>200</v>
      </c>
      <c r="E22" s="49">
        <f>D22-C22</f>
        <v/>
      </c>
      <c r="F22" s="50">
        <f>(D22-C22)/ABS(C22)</f>
        <v/>
      </c>
    </row>
    <row r="23" ht="18" customHeight="1">
      <c r="B23" s="21" t="inlineStr">
        <is>
          <t xml:space="preserve">  Investments (Non-Current)</t>
        </is>
      </c>
      <c r="C23" s="38" t="n">
        <v>34</v>
      </c>
      <c r="D23" s="38" t="n">
        <v>32</v>
      </c>
      <c r="E23" s="61">
        <f>D23-C23</f>
        <v/>
      </c>
      <c r="F23" s="62">
        <f>(D23-C23)/ABS(C23)</f>
        <v/>
      </c>
    </row>
    <row r="24" ht="18" customHeight="1">
      <c r="B24" s="25" t="inlineStr">
        <is>
          <t xml:space="preserve">  Deferred Tax Assets</t>
        </is>
      </c>
      <c r="C24" s="26" t="n">
        <v>405</v>
      </c>
      <c r="D24" s="26" t="n">
        <v>415</v>
      </c>
      <c r="E24" s="52">
        <f>D24-C24</f>
        <v/>
      </c>
      <c r="F24" s="53">
        <f>(D24-C24)/ABS(C24)</f>
        <v/>
      </c>
    </row>
    <row r="25" ht="18" customHeight="1">
      <c r="B25" s="21" t="inlineStr">
        <is>
          <t xml:space="preserve">  Non-Current Tax Assets</t>
        </is>
      </c>
      <c r="C25" s="38" t="n">
        <v>192</v>
      </c>
      <c r="D25" s="38" t="n">
        <v>184</v>
      </c>
      <c r="E25" s="61">
        <f>D25-C25</f>
        <v/>
      </c>
      <c r="F25" s="62">
        <f>(D25-C25)/ABS(C25)</f>
        <v/>
      </c>
    </row>
    <row r="26" ht="18" customHeight="1">
      <c r="B26" s="25" t="inlineStr">
        <is>
          <t xml:space="preserve">  Other Non-Current Assets</t>
        </is>
      </c>
      <c r="C26" s="26" t="n">
        <v>534</v>
      </c>
      <c r="D26" s="26" t="n">
        <v>526</v>
      </c>
      <c r="E26" s="49">
        <f>D26-C26</f>
        <v/>
      </c>
      <c r="F26" s="50">
        <f>(D26-C26)/ABS(C26)</f>
        <v/>
      </c>
    </row>
    <row r="27" ht="18" customHeight="1">
      <c r="B27" s="54" t="inlineStr">
        <is>
          <t>Total Non-Current Assets</t>
        </is>
      </c>
      <c r="C27" s="55" t="n">
        <v>4266</v>
      </c>
      <c r="D27" s="55" t="n">
        <v>4537</v>
      </c>
      <c r="E27" s="56">
        <f>D27-C27</f>
        <v/>
      </c>
      <c r="F27" s="57">
        <f>(D27-C27)/ABS(C27)</f>
        <v/>
      </c>
    </row>
    <row r="28" ht="18" customHeight="1">
      <c r="B28" s="18" t="inlineStr">
        <is>
          <t>TOTAL ASSETS</t>
        </is>
      </c>
      <c r="C28" s="19" t="n">
        <v>17816</v>
      </c>
      <c r="D28" s="19" t="n">
        <v>18931</v>
      </c>
      <c r="E28" s="43">
        <f>D28-C28</f>
        <v/>
      </c>
      <c r="F28" s="44">
        <f>(D28-C28)/ABS(C28)</f>
        <v/>
      </c>
    </row>
    <row r="29" ht="18" customHeight="1">
      <c r="B29" s="17" t="inlineStr">
        <is>
          <t xml:space="preserve">  LIABILITIES &amp; EQUITY</t>
        </is>
      </c>
      <c r="C29" s="15" t="n"/>
      <c r="D29" s="15" t="n"/>
      <c r="E29" s="15" t="n"/>
      <c r="F29" s="2" t="n"/>
    </row>
    <row r="30" ht="18" customHeight="1">
      <c r="B30" s="79" t="inlineStr">
        <is>
          <t xml:space="preserve">  Current Liabilities</t>
        </is>
      </c>
      <c r="C30" s="80" t="n"/>
    </row>
    <row r="31" ht="18" customHeight="1">
      <c r="B31" s="21" t="inlineStr">
        <is>
          <t xml:space="preserve">  Trade and Other Payables</t>
        </is>
      </c>
      <c r="C31" s="38" t="n">
        <v>1197</v>
      </c>
      <c r="D31" s="38" t="n">
        <v>1628</v>
      </c>
      <c r="E31" s="46">
        <f>D31-C31</f>
        <v/>
      </c>
      <c r="F31" s="47">
        <f>(D31-C31)/ABS(C31)</f>
        <v/>
      </c>
    </row>
    <row r="32" ht="18" customHeight="1">
      <c r="B32" s="25" t="inlineStr">
        <is>
          <t xml:space="preserve">  Borrowings (Current)</t>
        </is>
      </c>
      <c r="C32" s="26" t="n">
        <v>0</v>
      </c>
      <c r="D32" s="26" t="n">
        <v>0</v>
      </c>
      <c r="E32" s="49">
        <f>D32-C32</f>
        <v/>
      </c>
      <c r="F32" s="50">
        <f>(D32-C32)/ABS(C32)</f>
        <v/>
      </c>
    </row>
    <row r="33" ht="18" customHeight="1">
      <c r="B33" s="21" t="inlineStr">
        <is>
          <t xml:space="preserve">  Lease Liabilities (Current)</t>
        </is>
      </c>
      <c r="C33" s="38" t="n">
        <v>180</v>
      </c>
      <c r="D33" s="38" t="n">
        <v>182</v>
      </c>
      <c r="E33" s="46">
        <f>D33-C33</f>
        <v/>
      </c>
      <c r="F33" s="47">
        <f>(D33-C33)/ABS(C33)</f>
        <v/>
      </c>
    </row>
    <row r="34" ht="18" customHeight="1">
      <c r="B34" s="25" t="inlineStr">
        <is>
          <t xml:space="preserve">  Unearned / Deferred Revenue</t>
        </is>
      </c>
      <c r="C34" s="26" t="n">
        <v>437</v>
      </c>
      <c r="D34" s="26" t="n">
        <v>471</v>
      </c>
      <c r="E34" s="52">
        <f>D34-C34</f>
        <v/>
      </c>
      <c r="F34" s="53">
        <f>(D34-C34)/ABS(C34)</f>
        <v/>
      </c>
    </row>
    <row r="35" ht="18" customHeight="1">
      <c r="B35" s="21" t="inlineStr">
        <is>
          <t xml:space="preserve">  Employee Benefit Obligations</t>
        </is>
      </c>
      <c r="C35" s="38" t="n">
        <v>542</v>
      </c>
      <c r="D35" s="38" t="n">
        <v>571</v>
      </c>
      <c r="E35" s="46">
        <f>D35-C35</f>
        <v/>
      </c>
      <c r="F35" s="47">
        <f>(D35-C35)/ABS(C35)</f>
        <v/>
      </c>
    </row>
    <row r="36" ht="18" customHeight="1">
      <c r="B36" s="25" t="inlineStr">
        <is>
          <t xml:space="preserve">  Income Tax Liabilities</t>
        </is>
      </c>
      <c r="C36" s="26" t="n">
        <v>1371</v>
      </c>
      <c r="D36" s="26" t="n">
        <v>1488</v>
      </c>
      <c r="E36" s="52">
        <f>D36-C36</f>
        <v/>
      </c>
      <c r="F36" s="53">
        <f>(D36-C36)/ABS(C36)</f>
        <v/>
      </c>
    </row>
    <row r="37" ht="18" customHeight="1">
      <c r="B37" s="21" t="inlineStr">
        <is>
          <t xml:space="preserve">  Other Current Liabilities</t>
        </is>
      </c>
      <c r="C37" s="38" t="n">
        <v>782</v>
      </c>
      <c r="D37" s="38" t="n">
        <v>841</v>
      </c>
      <c r="E37" s="46">
        <f>D37-C37</f>
        <v/>
      </c>
      <c r="F37" s="47">
        <f>(D37-C37)/ABS(C37)</f>
        <v/>
      </c>
    </row>
    <row r="38" ht="18" customHeight="1">
      <c r="B38" s="25" t="inlineStr">
        <is>
          <t xml:space="preserve">  Other Financial Liabilities</t>
        </is>
      </c>
      <c r="C38" s="26" t="n">
        <v>1003</v>
      </c>
      <c r="D38" s="26" t="n">
        <v>1000</v>
      </c>
      <c r="E38" s="49">
        <f>D38-C38</f>
        <v/>
      </c>
      <c r="F38" s="50">
        <f>(D38-C38)/ABS(C38)</f>
        <v/>
      </c>
    </row>
    <row r="39" ht="18" customHeight="1">
      <c r="B39" s="21" t="inlineStr">
        <is>
          <t xml:space="preserve">  Other Provisions</t>
        </is>
      </c>
      <c r="C39" s="38" t="n">
        <v>17</v>
      </c>
      <c r="D39" s="38" t="n">
        <v>21</v>
      </c>
      <c r="E39" s="46">
        <f>D39-C39</f>
        <v/>
      </c>
      <c r="F39" s="47">
        <f>(D39-C39)/ABS(C39)</f>
        <v/>
      </c>
    </row>
    <row r="40" ht="18" customHeight="1">
      <c r="B40" s="54" t="inlineStr">
        <is>
          <t>Total Current Liabilities</t>
        </is>
      </c>
      <c r="C40" s="55" t="n">
        <v>5529</v>
      </c>
      <c r="D40" s="55" t="n">
        <v>6202</v>
      </c>
      <c r="E40" s="56">
        <f>D40-C40</f>
        <v/>
      </c>
      <c r="F40" s="57">
        <f>(D40-C40)/ABS(C40)</f>
        <v/>
      </c>
    </row>
    <row r="41" ht="18" customHeight="1">
      <c r="B41" s="79" t="inlineStr">
        <is>
          <t xml:space="preserve">  Non-Current Liabilities</t>
        </is>
      </c>
      <c r="C41" s="80" t="n"/>
    </row>
    <row r="42" ht="18" customHeight="1">
      <c r="B42" s="25" t="inlineStr">
        <is>
          <t xml:space="preserve">  Borrowings (Non-Current)</t>
        </is>
      </c>
      <c r="C42" s="26" t="n">
        <v>0</v>
      </c>
      <c r="D42" s="26" t="n">
        <v>0</v>
      </c>
      <c r="E42" s="49">
        <f>D42-C42</f>
        <v/>
      </c>
      <c r="F42" s="50">
        <f>(D42-C42)/ABS(C42)</f>
        <v/>
      </c>
    </row>
    <row r="43" ht="18" customHeight="1">
      <c r="B43" s="21" t="inlineStr">
        <is>
          <t xml:space="preserve">  Lease Liabilities (Non-Current)</t>
        </is>
      </c>
      <c r="C43" s="38" t="n">
        <v>781</v>
      </c>
      <c r="D43" s="38" t="n">
        <v>917</v>
      </c>
      <c r="E43" s="46">
        <f>D43-C43</f>
        <v/>
      </c>
      <c r="F43" s="47">
        <f>(D43-C43)/ABS(C43)</f>
        <v/>
      </c>
    </row>
    <row r="44" ht="18" customHeight="1">
      <c r="B44" s="25" t="inlineStr">
        <is>
          <t xml:space="preserve">  Other Non-Current Liabilities</t>
        </is>
      </c>
      <c r="C44" s="26" t="n">
        <v>301</v>
      </c>
      <c r="D44" s="26" t="n">
        <v>353</v>
      </c>
      <c r="E44" s="52">
        <f>D44-C44</f>
        <v/>
      </c>
      <c r="F44" s="53">
        <f>(D44-C44)/ABS(C44)</f>
        <v/>
      </c>
    </row>
    <row r="45" ht="18" customHeight="1">
      <c r="B45" s="54" t="inlineStr">
        <is>
          <t>Total Non-Current Liabilities</t>
        </is>
      </c>
      <c r="C45" s="55" t="n">
        <v>1082</v>
      </c>
      <c r="D45" s="55" t="n">
        <v>1270</v>
      </c>
      <c r="E45" s="56">
        <f>D45-C45</f>
        <v/>
      </c>
      <c r="F45" s="57">
        <f>(D45-C45)/ABS(C45)</f>
        <v/>
      </c>
    </row>
    <row r="46" ht="18" customHeight="1">
      <c r="B46" s="54" t="inlineStr">
        <is>
          <t>TOTAL LIABILITIES</t>
        </is>
      </c>
      <c r="C46" s="55" t="n">
        <v>6611</v>
      </c>
      <c r="D46" s="55" t="n">
        <v>7472</v>
      </c>
      <c r="E46" s="56">
        <f>D46-C46</f>
        <v/>
      </c>
      <c r="F46" s="57">
        <f>(D46-C46)/ABS(C46)</f>
        <v/>
      </c>
    </row>
    <row r="47" ht="18" customHeight="1">
      <c r="B47" s="79" t="inlineStr">
        <is>
          <t xml:space="preserve">  Equity</t>
        </is>
      </c>
      <c r="C47" s="80" t="n"/>
    </row>
    <row r="48" ht="18" customHeight="1">
      <c r="B48" s="25" t="inlineStr">
        <is>
          <t xml:space="preserve">  Share Capital</t>
        </is>
      </c>
      <c r="C48" s="26" t="n">
        <v>68</v>
      </c>
      <c r="D48" s="26" t="n">
        <v>68</v>
      </c>
      <c r="E48" s="52">
        <f>D48-C48</f>
        <v/>
      </c>
      <c r="F48" s="53">
        <f>(D48-C48)/ABS(C48)</f>
        <v/>
      </c>
    </row>
    <row r="49" ht="18" customHeight="1">
      <c r="B49" s="21" t="inlineStr">
        <is>
          <t xml:space="preserve">  Retained Earnings</t>
        </is>
      </c>
      <c r="C49" s="38" t="n">
        <v>13980</v>
      </c>
      <c r="D49" s="38" t="n">
        <v>16245</v>
      </c>
      <c r="E49" s="46">
        <f>D49-C49</f>
        <v/>
      </c>
      <c r="F49" s="47">
        <f>(D49-C49)/ABS(C49)</f>
        <v/>
      </c>
    </row>
    <row r="50" ht="18" customHeight="1">
      <c r="B50" s="25" t="inlineStr">
        <is>
          <t xml:space="preserve">  Accumulated OCI</t>
        </is>
      </c>
      <c r="C50" s="26" t="n">
        <v>-2944</v>
      </c>
      <c r="D50" s="26" t="n">
        <v>-4976</v>
      </c>
      <c r="E50" s="49">
        <f>D50-C50</f>
        <v/>
      </c>
      <c r="F50" s="50">
        <f>(D50-C50)/ABS(C50)</f>
        <v/>
      </c>
    </row>
    <row r="51" ht="18" customHeight="1">
      <c r="B51" s="54" t="inlineStr">
        <is>
          <t>Total Equity (TCS Shareholders)</t>
        </is>
      </c>
      <c r="C51" s="55" t="n">
        <v>11104</v>
      </c>
      <c r="D51" s="55" t="n">
        <v>11337</v>
      </c>
      <c r="E51" s="56">
        <f>D51-C51</f>
        <v/>
      </c>
      <c r="F51" s="57">
        <f>(D51-C51)/ABS(C51)</f>
        <v/>
      </c>
    </row>
    <row r="52" ht="18" customHeight="1">
      <c r="B52" s="25" t="inlineStr">
        <is>
          <t xml:space="preserve">  Non-Controlling Interests</t>
        </is>
      </c>
      <c r="C52" s="26" t="n">
        <v>101</v>
      </c>
      <c r="D52" s="26" t="n">
        <v>122</v>
      </c>
      <c r="E52" s="52">
        <f>D52-C52</f>
        <v/>
      </c>
      <c r="F52" s="53">
        <f>(D52-C52)/ABS(C52)</f>
        <v/>
      </c>
    </row>
    <row r="53" ht="18" customHeight="1">
      <c r="B53" s="18" t="inlineStr">
        <is>
          <t>TOTAL EQUITY</t>
        </is>
      </c>
      <c r="C53" s="19" t="n">
        <v>11205</v>
      </c>
      <c r="D53" s="19" t="n">
        <v>11459</v>
      </c>
      <c r="E53" s="43">
        <f>D53-C53</f>
        <v/>
      </c>
      <c r="F53" s="44">
        <f>(D53-C53)/ABS(C53)</f>
        <v/>
      </c>
    </row>
    <row r="54" ht="18" customHeight="1">
      <c r="B54" s="18" t="inlineStr">
        <is>
          <t>TOTAL LIABILITIES + EQUITY</t>
        </is>
      </c>
      <c r="C54" s="19" t="n">
        <v>17816</v>
      </c>
      <c r="D54" s="19" t="n">
        <v>18931</v>
      </c>
      <c r="E54" s="43">
        <f>D54-C54</f>
        <v/>
      </c>
      <c r="F54" s="44">
        <f>(D54-C54)/ABS(C54)</f>
        <v/>
      </c>
    </row>
    <row r="55" ht="18" customHeight="1">
      <c r="B55" s="17" t="inlineStr">
        <is>
          <t xml:space="preserve">  KEY RATIOS</t>
        </is>
      </c>
      <c r="C55" s="15" t="n"/>
      <c r="D55" s="15" t="n"/>
      <c r="E55" s="15" t="n"/>
      <c r="F55" s="2" t="n"/>
    </row>
    <row r="56" ht="18" customHeight="1">
      <c r="B56" s="18" t="inlineStr">
        <is>
          <t>Net Cash &amp; Investments</t>
        </is>
      </c>
      <c r="C56" s="19" t="n">
        <v>5537</v>
      </c>
      <c r="D56" s="19" t="n">
        <v>5527</v>
      </c>
      <c r="E56" s="59">
        <f>D56-C56</f>
        <v/>
      </c>
      <c r="F56" s="60">
        <f>(D56-C56)/ABS(C56)</f>
        <v/>
      </c>
    </row>
    <row r="57" ht="18" customHeight="1">
      <c r="B57" s="21" t="inlineStr">
        <is>
          <t>Total Debt</t>
        </is>
      </c>
      <c r="C57" s="38" t="n">
        <v>0</v>
      </c>
      <c r="D57" s="38" t="n">
        <v>0</v>
      </c>
      <c r="E57" s="61">
        <f>D57-C57</f>
        <v/>
      </c>
      <c r="F57" s="62">
        <f>(D57-C57)/ABS(C57)</f>
        <v/>
      </c>
    </row>
    <row r="58" ht="18" customHeight="1">
      <c r="B58" s="18" t="inlineStr">
        <is>
          <t>Net Cash Position</t>
        </is>
      </c>
      <c r="C58" s="19" t="n">
        <v>5537</v>
      </c>
      <c r="D58" s="19" t="n">
        <v>5527</v>
      </c>
      <c r="E58" s="59">
        <f>D58-C58</f>
        <v/>
      </c>
      <c r="F58" s="60">
        <f>(D58-C58)/ABS(C58)</f>
        <v/>
      </c>
    </row>
    <row r="59" ht="18" customHeight="1">
      <c r="B59" s="21" t="inlineStr">
        <is>
          <t>Current Ratio</t>
        </is>
      </c>
      <c r="C59" s="31" t="n">
        <v>2.45</v>
      </c>
      <c r="D59" s="31" t="n">
        <v>2.32</v>
      </c>
      <c r="E59" s="81" t="inlineStr">
        <is>
          <t>—</t>
        </is>
      </c>
      <c r="F59" s="81" t="inlineStr">
        <is>
          <t>—</t>
        </is>
      </c>
    </row>
    <row r="60" ht="18" customHeight="1">
      <c r="B60" s="54" t="inlineStr">
        <is>
          <t>Return on Equity (ROE %)</t>
        </is>
      </c>
      <c r="C60" s="65" t="n">
        <v>0.501</v>
      </c>
      <c r="D60" s="65" t="n">
        <v>0.501</v>
      </c>
      <c r="E60" s="82" t="inlineStr">
        <is>
          <t>—</t>
        </is>
      </c>
      <c r="F60" s="82" t="inlineStr">
        <is>
          <t>—</t>
        </is>
      </c>
    </row>
    <row r="61" ht="18" customHeight="1">
      <c r="B61" s="21" t="inlineStr">
        <is>
          <t>Return on Assets (ROA %)</t>
        </is>
      </c>
      <c r="C61" s="24" t="n">
        <v>0.316</v>
      </c>
      <c r="D61" s="24" t="n">
        <v>0.304</v>
      </c>
      <c r="E61" s="81" t="inlineStr">
        <is>
          <t>—</t>
        </is>
      </c>
      <c r="F61" s="81" t="inlineStr">
        <is>
          <t>—</t>
        </is>
      </c>
    </row>
    <row r="62" ht="18" customHeight="1">
      <c r="B62" s="25" t="inlineStr">
        <is>
          <t>Debt / Equity</t>
        </is>
      </c>
      <c r="C62" s="28" t="n">
        <v>0</v>
      </c>
      <c r="D62" s="28" t="n">
        <v>0</v>
      </c>
      <c r="E62" s="83" t="inlineStr">
        <is>
          <t>—</t>
        </is>
      </c>
      <c r="F62" s="83" t="inlineStr">
        <is>
          <t>—</t>
        </is>
      </c>
    </row>
    <row r="63" ht="18" customHeight="1">
      <c r="B63" s="21" t="inlineStr">
        <is>
          <t>Equity Multiplier (Assets/Equity)</t>
        </is>
      </c>
      <c r="C63" s="31" t="n">
        <v>1.589</v>
      </c>
      <c r="D63" s="31" t="n">
        <v>1.652</v>
      </c>
      <c r="E63" s="81" t="inlineStr">
        <is>
          <t>—</t>
        </is>
      </c>
      <c r="F63" s="81" t="inlineStr">
        <is>
          <t>—</t>
        </is>
      </c>
    </row>
    <row r="65" ht="24" customHeight="1">
      <c r="B65" s="17" t="inlineStr">
        <is>
          <t xml:space="preserve">  WIPRO ENTERPRISES (P) LTD — BALANCE SHEET (INR Mn, Ind AS)</t>
        </is>
      </c>
      <c r="C65" s="15" t="n"/>
      <c r="D65" s="15" t="n"/>
      <c r="E65" s="15" t="n"/>
      <c r="F65" s="2" t="n"/>
    </row>
    <row r="66" ht="28" customHeight="1">
      <c r="B66" s="16" t="inlineStr">
        <is>
          <t>Line Item</t>
        </is>
      </c>
      <c r="C66" s="16" t="inlineStr">
        <is>
          <t>FY24
(Audited)</t>
        </is>
      </c>
      <c r="D66" s="16" t="inlineStr">
        <is>
          <t>FY25
(Audited)</t>
        </is>
      </c>
      <c r="E66" s="16" t="inlineStr">
        <is>
          <t>YoY Δ</t>
        </is>
      </c>
      <c r="F66" s="16" t="inlineStr">
        <is>
          <t>YoY Δ %</t>
        </is>
      </c>
    </row>
    <row r="67" ht="18" customHeight="1">
      <c r="B67" s="17" t="inlineStr">
        <is>
          <t xml:space="preserve">  ASSETS</t>
        </is>
      </c>
      <c r="C67" s="15" t="n"/>
      <c r="D67" s="15" t="n"/>
      <c r="E67" s="15" t="n"/>
      <c r="F67" s="2" t="n"/>
    </row>
    <row r="68" ht="18" customHeight="1">
      <c r="B68" s="21" t="inlineStr">
        <is>
          <t>Property, Plant &amp; Equipment</t>
        </is>
      </c>
      <c r="C68" s="38" t="n">
        <v>9724</v>
      </c>
      <c r="D68" s="38" t="n">
        <v>9605</v>
      </c>
      <c r="E68" s="61">
        <f>D68-C68</f>
        <v/>
      </c>
      <c r="F68" s="62">
        <f>(D68-C68)/ABS(C68)</f>
        <v/>
      </c>
    </row>
    <row r="69" ht="18" customHeight="1">
      <c r="B69" s="25" t="inlineStr">
        <is>
          <t>Capital WIP</t>
        </is>
      </c>
      <c r="C69" s="26" t="n">
        <v>141</v>
      </c>
      <c r="D69" s="26" t="n">
        <v>156</v>
      </c>
      <c r="E69" s="52">
        <f>D69-C69</f>
        <v/>
      </c>
      <c r="F69" s="53">
        <f>(D69-C69)/ABS(C69)</f>
        <v/>
      </c>
    </row>
    <row r="70" ht="18" customHeight="1">
      <c r="B70" s="21" t="inlineStr">
        <is>
          <t>Goodwill &amp; Other Intangibles</t>
        </is>
      </c>
      <c r="C70" s="38" t="n">
        <v>5251</v>
      </c>
      <c r="D70" s="38" t="n">
        <v>5727</v>
      </c>
      <c r="E70" s="46">
        <f>D70-C70</f>
        <v/>
      </c>
      <c r="F70" s="47">
        <f>(D70-C70)/ABS(C70)</f>
        <v/>
      </c>
    </row>
    <row r="71" ht="18" customHeight="1">
      <c r="B71" s="25" t="inlineStr">
        <is>
          <t>ROU Assets</t>
        </is>
      </c>
      <c r="C71" s="26" t="n">
        <v>810</v>
      </c>
      <c r="D71" s="26" t="n">
        <v>846</v>
      </c>
      <c r="E71" s="52">
        <f>D71-C71</f>
        <v/>
      </c>
      <c r="F71" s="53">
        <f>(D71-C71)/ABS(C71)</f>
        <v/>
      </c>
    </row>
    <row r="72" ht="18" customHeight="1">
      <c r="B72" s="21" t="inlineStr">
        <is>
          <t>Investments (Non-Current)</t>
        </is>
      </c>
      <c r="C72" s="38" t="n">
        <v>33176</v>
      </c>
      <c r="D72" s="38" t="n">
        <v>58943</v>
      </c>
      <c r="E72" s="46">
        <f>D72-C72</f>
        <v/>
      </c>
      <c r="F72" s="47">
        <f>(D72-C72)/ABS(C72)</f>
        <v/>
      </c>
    </row>
    <row r="73" ht="18" customHeight="1">
      <c r="B73" s="25" t="inlineStr">
        <is>
          <t>Loans (Non-Current)</t>
        </is>
      </c>
      <c r="C73" s="26" t="n">
        <v>18265</v>
      </c>
      <c r="D73" s="26" t="n">
        <v>16522</v>
      </c>
      <c r="E73" s="49">
        <f>D73-C73</f>
        <v/>
      </c>
      <c r="F73" s="50">
        <f>(D73-C73)/ABS(C73)</f>
        <v/>
      </c>
    </row>
    <row r="74" ht="18" customHeight="1">
      <c r="B74" s="21" t="inlineStr">
        <is>
          <t>Other Non-Current Assets</t>
        </is>
      </c>
      <c r="C74" s="38" t="n">
        <v>2219</v>
      </c>
      <c r="D74" s="38" t="n">
        <v>2230</v>
      </c>
      <c r="E74" s="46">
        <f>D74-C74</f>
        <v/>
      </c>
      <c r="F74" s="47">
        <f>(D74-C74)/ABS(C74)</f>
        <v/>
      </c>
    </row>
    <row r="75" ht="18" customHeight="1">
      <c r="B75" s="54" t="inlineStr">
        <is>
          <t>Total Non-Current Assets</t>
        </is>
      </c>
      <c r="C75" s="55" t="n">
        <v>69586</v>
      </c>
      <c r="D75" s="55" t="n">
        <v>94029</v>
      </c>
      <c r="E75" s="56">
        <f>D75-C75</f>
        <v/>
      </c>
      <c r="F75" s="57">
        <f>(D75-C75)/ABS(C75)</f>
        <v/>
      </c>
    </row>
    <row r="76" ht="18" customHeight="1">
      <c r="B76" s="21" t="inlineStr">
        <is>
          <t>Inventories</t>
        </is>
      </c>
      <c r="C76" s="38" t="n">
        <v>6402</v>
      </c>
      <c r="D76" s="38" t="n">
        <v>7119</v>
      </c>
      <c r="E76" s="46">
        <f>D76-C76</f>
        <v/>
      </c>
      <c r="F76" s="47">
        <f>(D76-C76)/ABS(C76)</f>
        <v/>
      </c>
    </row>
    <row r="77" ht="18" customHeight="1">
      <c r="B77" s="25" t="inlineStr">
        <is>
          <t>Trade Receivables</t>
        </is>
      </c>
      <c r="C77" s="26" t="n">
        <v>7345</v>
      </c>
      <c r="D77" s="26" t="n">
        <v>5932</v>
      </c>
      <c r="E77" s="49">
        <f>D77-C77</f>
        <v/>
      </c>
      <c r="F77" s="50">
        <f>(D77-C77)/ABS(C77)</f>
        <v/>
      </c>
    </row>
    <row r="78" ht="18" customHeight="1">
      <c r="B78" s="21" t="inlineStr">
        <is>
          <t>Cash &amp; Cash Equivalents</t>
        </is>
      </c>
      <c r="C78" s="38" t="n">
        <v>3309</v>
      </c>
      <c r="D78" s="38" t="n">
        <v>3278</v>
      </c>
      <c r="E78" s="61">
        <f>D78-C78</f>
        <v/>
      </c>
      <c r="F78" s="62">
        <f>(D78-C78)/ABS(C78)</f>
        <v/>
      </c>
    </row>
    <row r="79" ht="18" customHeight="1">
      <c r="B79" s="25" t="inlineStr">
        <is>
          <t>Current Investments</t>
        </is>
      </c>
      <c r="C79" s="26" t="n">
        <v>73332</v>
      </c>
      <c r="D79" s="26" t="n">
        <v>70625</v>
      </c>
      <c r="E79" s="49">
        <f>D79-C79</f>
        <v/>
      </c>
      <c r="F79" s="50">
        <f>(D79-C79)/ABS(C79)</f>
        <v/>
      </c>
    </row>
    <row r="80" ht="18" customHeight="1">
      <c r="B80" s="21" t="inlineStr">
        <is>
          <t>Loans (Current)</t>
        </is>
      </c>
      <c r="C80" s="38" t="n">
        <v>2727</v>
      </c>
      <c r="D80" s="38" t="n">
        <v>5749</v>
      </c>
      <c r="E80" s="46">
        <f>D80-C80</f>
        <v/>
      </c>
      <c r="F80" s="47">
        <f>(D80-C80)/ABS(C80)</f>
        <v/>
      </c>
    </row>
    <row r="81" ht="18" customHeight="1">
      <c r="B81" s="25" t="inlineStr">
        <is>
          <t>Other Current Assets</t>
        </is>
      </c>
      <c r="C81" s="26" t="n">
        <v>3440</v>
      </c>
      <c r="D81" s="26" t="n">
        <v>2909</v>
      </c>
      <c r="E81" s="49">
        <f>D81-C81</f>
        <v/>
      </c>
      <c r="F81" s="50">
        <f>(D81-C81)/ABS(C81)</f>
        <v/>
      </c>
    </row>
    <row r="82" ht="18" customHeight="1">
      <c r="B82" s="54" t="inlineStr">
        <is>
          <t>Total Current Assets</t>
        </is>
      </c>
      <c r="C82" s="55" t="n">
        <v>96555</v>
      </c>
      <c r="D82" s="55" t="n">
        <v>95612</v>
      </c>
      <c r="E82" s="63">
        <f>D82-C82</f>
        <v/>
      </c>
      <c r="F82" s="64">
        <f>(D82-C82)/ABS(C82)</f>
        <v/>
      </c>
    </row>
    <row r="83" ht="18" customHeight="1">
      <c r="B83" s="18" t="inlineStr">
        <is>
          <t>TOTAL ASSETS</t>
        </is>
      </c>
      <c r="C83" s="19" t="n">
        <v>166141</v>
      </c>
      <c r="D83" s="19" t="n">
        <v>189641</v>
      </c>
      <c r="E83" s="43">
        <f>D83-C83</f>
        <v/>
      </c>
      <c r="F83" s="44">
        <f>(D83-C83)/ABS(C83)</f>
        <v/>
      </c>
    </row>
    <row r="84" ht="18" customHeight="1">
      <c r="B84" s="17" t="inlineStr">
        <is>
          <t xml:space="preserve">  EQUITY &amp; LIABILITIES</t>
        </is>
      </c>
      <c r="C84" s="15" t="n"/>
      <c r="D84" s="15" t="n"/>
      <c r="E84" s="15" t="n"/>
      <c r="F84" s="2" t="n"/>
    </row>
    <row r="85" ht="18" customHeight="1">
      <c r="B85" s="25" t="inlineStr">
        <is>
          <t>Share Capital</t>
        </is>
      </c>
      <c r="C85" s="26" t="n">
        <v>4837</v>
      </c>
      <c r="D85" s="26" t="n">
        <v>4837</v>
      </c>
      <c r="E85" s="52">
        <f>D85-C85</f>
        <v/>
      </c>
      <c r="F85" s="53">
        <f>(D85-C85)/ABS(C85)</f>
        <v/>
      </c>
    </row>
    <row r="86" ht="18" customHeight="1">
      <c r="B86" s="21" t="inlineStr">
        <is>
          <t>Other Equity</t>
        </is>
      </c>
      <c r="C86" s="38" t="n">
        <v>119159</v>
      </c>
      <c r="D86" s="38" t="n">
        <v>128849</v>
      </c>
      <c r="E86" s="46">
        <f>D86-C86</f>
        <v/>
      </c>
      <c r="F86" s="47">
        <f>(D86-C86)/ABS(C86)</f>
        <v/>
      </c>
    </row>
    <row r="87" ht="18" customHeight="1">
      <c r="B87" s="18" t="inlineStr">
        <is>
          <t>TOTAL EQUITY</t>
        </is>
      </c>
      <c r="C87" s="19" t="n">
        <v>123996</v>
      </c>
      <c r="D87" s="19" t="n">
        <v>133686</v>
      </c>
      <c r="E87" s="43">
        <f>D87-C87</f>
        <v/>
      </c>
      <c r="F87" s="44">
        <f>(D87-C87)/ABS(C87)</f>
        <v/>
      </c>
    </row>
    <row r="88" ht="18" customHeight="1">
      <c r="B88" s="21" t="inlineStr">
        <is>
          <t>Borrowings (Non-Current)</t>
        </is>
      </c>
      <c r="C88" s="38" t="n">
        <v>11967</v>
      </c>
      <c r="D88" s="38" t="n">
        <v>21551</v>
      </c>
      <c r="E88" s="46">
        <f>D88-C88</f>
        <v/>
      </c>
      <c r="F88" s="47">
        <f>(D88-C88)/ABS(C88)</f>
        <v/>
      </c>
    </row>
    <row r="89" ht="18" customHeight="1">
      <c r="B89" s="25" t="inlineStr">
        <is>
          <t>Lease + Other NC Liabilities</t>
        </is>
      </c>
      <c r="C89" s="26" t="n">
        <v>3274</v>
      </c>
      <c r="D89" s="26" t="n">
        <v>1931</v>
      </c>
      <c r="E89" s="49">
        <f>D89-C89</f>
        <v/>
      </c>
      <c r="F89" s="50">
        <f>(D89-C89)/ABS(C89)</f>
        <v/>
      </c>
    </row>
    <row r="90" ht="18" customHeight="1">
      <c r="B90" s="54" t="inlineStr">
        <is>
          <t>Total Non-Current Liabilities</t>
        </is>
      </c>
      <c r="C90" s="55" t="n">
        <v>15241</v>
      </c>
      <c r="D90" s="55" t="n">
        <v>23482</v>
      </c>
      <c r="E90" s="56">
        <f>D90-C90</f>
        <v/>
      </c>
      <c r="F90" s="57">
        <f>(D90-C90)/ABS(C90)</f>
        <v/>
      </c>
    </row>
    <row r="91" ht="18" customHeight="1">
      <c r="B91" s="25" t="inlineStr">
        <is>
          <t>Trade Payables</t>
        </is>
      </c>
      <c r="C91" s="26" t="n">
        <v>11103</v>
      </c>
      <c r="D91" s="26" t="n">
        <v>9311</v>
      </c>
      <c r="E91" s="49">
        <f>D91-C91</f>
        <v/>
      </c>
      <c r="F91" s="50">
        <f>(D91-C91)/ABS(C91)</f>
        <v/>
      </c>
    </row>
    <row r="92" ht="18" customHeight="1">
      <c r="B92" s="21" t="inlineStr">
        <is>
          <t>Borrowings (Current)</t>
        </is>
      </c>
      <c r="C92" s="38" t="n">
        <v>11032</v>
      </c>
      <c r="D92" s="38" t="n">
        <v>16419</v>
      </c>
      <c r="E92" s="46">
        <f>D92-C92</f>
        <v/>
      </c>
      <c r="F92" s="47">
        <f>(D92-C92)/ABS(C92)</f>
        <v/>
      </c>
    </row>
    <row r="93" ht="18" customHeight="1">
      <c r="B93" s="25" t="inlineStr">
        <is>
          <t>Other Current Liabilities</t>
        </is>
      </c>
      <c r="C93" s="26" t="n">
        <v>4769</v>
      </c>
      <c r="D93" s="26" t="n">
        <v>6743</v>
      </c>
      <c r="E93" s="52">
        <f>D93-C93</f>
        <v/>
      </c>
      <c r="F93" s="53">
        <f>(D93-C93)/ABS(C93)</f>
        <v/>
      </c>
    </row>
    <row r="94" ht="18" customHeight="1">
      <c r="B94" s="54" t="inlineStr">
        <is>
          <t>Total Current Liabilities</t>
        </is>
      </c>
      <c r="C94" s="55" t="n">
        <v>26904</v>
      </c>
      <c r="D94" s="55" t="n">
        <v>32473</v>
      </c>
      <c r="E94" s="56">
        <f>D94-C94</f>
        <v/>
      </c>
      <c r="F94" s="57">
        <f>(D94-C94)/ABS(C94)</f>
        <v/>
      </c>
    </row>
    <row r="95" ht="18" customHeight="1">
      <c r="B95" s="54" t="inlineStr">
        <is>
          <t>TOTAL LIABILITIES</t>
        </is>
      </c>
      <c r="C95" s="55" t="n">
        <v>42145</v>
      </c>
      <c r="D95" s="55" t="n">
        <v>55955</v>
      </c>
      <c r="E95" s="56">
        <f>D95-C95</f>
        <v/>
      </c>
      <c r="F95" s="57">
        <f>(D95-C95)/ABS(C95)</f>
        <v/>
      </c>
    </row>
    <row r="96" ht="18" customHeight="1">
      <c r="B96" s="18" t="inlineStr">
        <is>
          <t>TOTAL EQUITY + LIABILITIES</t>
        </is>
      </c>
      <c r="C96" s="19" t="n">
        <v>166141</v>
      </c>
      <c r="D96" s="19" t="n">
        <v>189641</v>
      </c>
      <c r="E96" s="43">
        <f>D96-C96</f>
        <v/>
      </c>
      <c r="F96" s="44">
        <f>(D96-C96)/ABS(C96)</f>
        <v/>
      </c>
    </row>
    <row r="97" ht="18" customHeight="1">
      <c r="B97" s="17" t="inlineStr">
        <is>
          <t xml:space="preserve">  KEY RATIOS</t>
        </is>
      </c>
      <c r="C97" s="15" t="n"/>
      <c r="D97" s="15" t="n"/>
      <c r="E97" s="15" t="n"/>
      <c r="F97" s="2" t="n"/>
    </row>
    <row r="98" ht="18" customHeight="1">
      <c r="B98" s="18" t="inlineStr">
        <is>
          <t>Total Debt (Borrowings)</t>
        </is>
      </c>
      <c r="C98" s="19" t="n">
        <v>22999</v>
      </c>
      <c r="D98" s="19" t="n">
        <v>37970</v>
      </c>
      <c r="E98" s="43">
        <f>D98-C98</f>
        <v/>
      </c>
      <c r="F98" s="44">
        <f>(D98-C98)/ABS(C98)</f>
        <v/>
      </c>
    </row>
    <row r="99" ht="18" customHeight="1">
      <c r="B99" s="18" t="inlineStr">
        <is>
          <t>Net Debt</t>
        </is>
      </c>
      <c r="C99" s="19" t="n">
        <v>19690</v>
      </c>
      <c r="D99" s="19" t="n">
        <v>34692</v>
      </c>
      <c r="E99" s="43">
        <f>D99-C99</f>
        <v/>
      </c>
      <c r="F99" s="44">
        <f>(D99-C99)/ABS(C99)</f>
        <v/>
      </c>
    </row>
    <row r="100" ht="18" customHeight="1">
      <c r="B100" s="21" t="inlineStr">
        <is>
          <t>Current Ratio</t>
        </is>
      </c>
      <c r="C100" s="31" t="n">
        <v>3.59</v>
      </c>
      <c r="D100" s="31" t="n">
        <v>2.94</v>
      </c>
      <c r="E100" s="81" t="inlineStr">
        <is>
          <t>—</t>
        </is>
      </c>
      <c r="F100" s="81" t="inlineStr">
        <is>
          <t>—</t>
        </is>
      </c>
    </row>
    <row r="101" ht="18" customHeight="1">
      <c r="B101" s="25" t="inlineStr">
        <is>
          <t>Debt / Equity</t>
        </is>
      </c>
      <c r="C101" s="28" t="n">
        <v>0.185</v>
      </c>
      <c r="D101" s="28" t="n">
        <v>0.284</v>
      </c>
      <c r="E101" s="83" t="inlineStr">
        <is>
          <t>—</t>
        </is>
      </c>
      <c r="F101" s="83" t="inlineStr">
        <is>
          <t>—</t>
        </is>
      </c>
    </row>
    <row r="102" ht="18" customHeight="1">
      <c r="B102" s="21" t="inlineStr">
        <is>
          <t>ROE (%)</t>
        </is>
      </c>
      <c r="C102" s="24" t="n">
        <v>0.1018</v>
      </c>
      <c r="D102" s="24" t="n">
        <v>0.0732</v>
      </c>
      <c r="E102" s="81" t="inlineStr">
        <is>
          <t>—</t>
        </is>
      </c>
      <c r="F102" s="81" t="inlineStr">
        <is>
          <t>—</t>
        </is>
      </c>
    </row>
    <row r="103" ht="18" customHeight="1">
      <c r="B103" s="25" t="inlineStr">
        <is>
          <t>ROA (%)</t>
        </is>
      </c>
      <c r="C103" s="28" t="n">
        <v>0.0761</v>
      </c>
      <c r="D103" s="28" t="n">
        <v>0.0516</v>
      </c>
      <c r="E103" s="83" t="inlineStr">
        <is>
          <t>—</t>
        </is>
      </c>
      <c r="F103" s="83" t="inlineStr">
        <is>
          <t>—</t>
        </is>
      </c>
    </row>
  </sheetData>
  <mergeCells count="14">
    <mergeCell ref="B4:F4"/>
    <mergeCell ref="B65:F65"/>
    <mergeCell ref="C7:G7"/>
    <mergeCell ref="B29:F29"/>
    <mergeCell ref="C30:G30"/>
    <mergeCell ref="B6:F6"/>
    <mergeCell ref="B55:F55"/>
    <mergeCell ref="B2:F2"/>
    <mergeCell ref="C47:G47"/>
    <mergeCell ref="C41:G41"/>
    <mergeCell ref="B67:F67"/>
    <mergeCell ref="B84:F84"/>
    <mergeCell ref="B97:F97"/>
    <mergeCell ref="C17:G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6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</cols>
  <sheetData>
    <row r="2" ht="44" customHeight="1">
      <c r="B2" s="14" t="inlineStr">
        <is>
          <t xml:space="preserve">  CASH FLOW ANALYSIS  |  FY 2024–2025</t>
        </is>
      </c>
      <c r="C2" s="15" t="n"/>
      <c r="D2" s="15" t="n"/>
      <c r="E2" s="15" t="n"/>
      <c r="F2" s="2" t="n"/>
    </row>
    <row r="3" ht="8" customHeight="1"/>
    <row r="4" ht="24" customHeight="1">
      <c r="B4" s="17" t="inlineStr">
        <is>
          <t xml:space="preserve">  TCS — CASH FLOW (USD Mn, estimated from IFRS B/S + public disclosures)</t>
        </is>
      </c>
      <c r="C4" s="15" t="n"/>
      <c r="D4" s="15" t="n"/>
      <c r="E4" s="15" t="n"/>
      <c r="F4" s="2" t="n"/>
    </row>
    <row r="5" ht="28" customHeight="1">
      <c r="B5" s="16" t="inlineStr">
        <is>
          <t>Cash Flow Line</t>
        </is>
      </c>
      <c r="C5" s="16" t="inlineStr">
        <is>
          <t>FY24</t>
        </is>
      </c>
      <c r="D5" s="16" t="inlineStr">
        <is>
          <t>FY25</t>
        </is>
      </c>
      <c r="E5" s="16" t="inlineStr">
        <is>
          <t>YoY Δ</t>
        </is>
      </c>
      <c r="F5" s="16" t="inlineStr">
        <is>
          <t>YoY Δ %</t>
        </is>
      </c>
    </row>
    <row r="6" ht="18" customHeight="1">
      <c r="B6" s="17" t="inlineStr">
        <is>
          <t xml:space="preserve">  A. OPERATING ACTIVITIES</t>
        </is>
      </c>
      <c r="C6" s="15" t="n"/>
      <c r="D6" s="15" t="n"/>
      <c r="E6" s="15" t="n"/>
      <c r="F6" s="2" t="n"/>
    </row>
    <row r="7" ht="18" customHeight="1">
      <c r="B7" s="21" t="inlineStr">
        <is>
          <t>Net Profit (PAT)</t>
        </is>
      </c>
      <c r="C7" s="38" t="n">
        <v>5623</v>
      </c>
      <c r="D7" s="38" t="n">
        <v>5739</v>
      </c>
      <c r="E7" s="46">
        <f>D7-C7</f>
        <v/>
      </c>
      <c r="F7" s="47">
        <f>(D7-C7)/ABS(C7)</f>
        <v/>
      </c>
    </row>
    <row r="8" ht="18" customHeight="1">
      <c r="B8" s="25" t="inlineStr">
        <is>
          <t>Add: Depreciation</t>
        </is>
      </c>
      <c r="C8" s="26" t="n">
        <v>602</v>
      </c>
      <c r="D8" s="26" t="n">
        <v>619</v>
      </c>
      <c r="E8" s="52">
        <f>D8-C8</f>
        <v/>
      </c>
      <c r="F8" s="53">
        <f>(D8-C8)/ABS(C8)</f>
        <v/>
      </c>
    </row>
    <row r="9" ht="18" customHeight="1">
      <c r="B9" s="21" t="inlineStr">
        <is>
          <t>Add: Other Non-Cash Items</t>
        </is>
      </c>
      <c r="C9" s="38" t="n">
        <v>280</v>
      </c>
      <c r="D9" s="38" t="n">
        <v>320</v>
      </c>
      <c r="E9" s="46">
        <f>D9-C9</f>
        <v/>
      </c>
      <c r="F9" s="47">
        <f>(D9-C9)/ABS(C9)</f>
        <v/>
      </c>
    </row>
    <row r="10" ht="18" customHeight="1">
      <c r="B10" s="25" t="inlineStr">
        <is>
          <t>Working Capital Changes</t>
        </is>
      </c>
      <c r="C10" s="26" t="n">
        <v>-252</v>
      </c>
      <c r="D10" s="26" t="n">
        <v>-812</v>
      </c>
      <c r="E10" s="49">
        <f>D10-C10</f>
        <v/>
      </c>
      <c r="F10" s="50">
        <f>(D10-C10)/ABS(C10)</f>
        <v/>
      </c>
    </row>
    <row r="11" ht="18" customHeight="1">
      <c r="B11" s="18" t="inlineStr">
        <is>
          <t>Cash from Operations (CFO)</t>
        </is>
      </c>
      <c r="C11" s="19" t="n">
        <v>6253</v>
      </c>
      <c r="D11" s="19" t="n">
        <v>5866</v>
      </c>
      <c r="E11" s="59">
        <f>D11-C11</f>
        <v/>
      </c>
      <c r="F11" s="60">
        <f>(D11-C11)/ABS(C11)</f>
        <v/>
      </c>
    </row>
    <row r="12" ht="18" customHeight="1">
      <c r="B12" s="25" t="inlineStr">
        <is>
          <t>CFO / Revenue (%)</t>
        </is>
      </c>
      <c r="C12" s="28" t="n">
        <v>0.215</v>
      </c>
      <c r="D12" s="28" t="n">
        <v>0.194</v>
      </c>
      <c r="E12" s="83" t="inlineStr">
        <is>
          <t>—</t>
        </is>
      </c>
      <c r="F12" s="83" t="inlineStr">
        <is>
          <t>—</t>
        </is>
      </c>
    </row>
    <row r="13" ht="18" customHeight="1">
      <c r="B13" s="21" t="inlineStr">
        <is>
          <t>CFO / PAT</t>
        </is>
      </c>
      <c r="C13" s="24" t="n">
        <v>1.11</v>
      </c>
      <c r="D13" s="24" t="n">
        <v>1.02</v>
      </c>
      <c r="E13" s="81" t="inlineStr">
        <is>
          <t>—</t>
        </is>
      </c>
      <c r="F13" s="81" t="inlineStr">
        <is>
          <t>—</t>
        </is>
      </c>
    </row>
    <row r="14" ht="18" customHeight="1">
      <c r="B14" s="17" t="inlineStr">
        <is>
          <t xml:space="preserve">  B. INVESTING ACTIVITIES</t>
        </is>
      </c>
      <c r="C14" s="15" t="n"/>
      <c r="D14" s="15" t="n"/>
      <c r="E14" s="15" t="n"/>
      <c r="F14" s="2" t="n"/>
    </row>
    <row r="15" ht="18" customHeight="1">
      <c r="B15" s="21" t="inlineStr">
        <is>
          <t>Capex (PPE + Intangibles)</t>
        </is>
      </c>
      <c r="C15" s="38" t="n">
        <v>-436</v>
      </c>
      <c r="D15" s="38" t="n">
        <v>-532</v>
      </c>
      <c r="E15" s="61">
        <f>D15-C15</f>
        <v/>
      </c>
      <c r="F15" s="62">
        <f>(D15-C15)/ABS(C15)</f>
        <v/>
      </c>
    </row>
    <row r="16" ht="18" customHeight="1">
      <c r="B16" s="25" t="inlineStr">
        <is>
          <t>Net Investments</t>
        </is>
      </c>
      <c r="C16" s="26" t="n">
        <v>-1480</v>
      </c>
      <c r="D16" s="26" t="n">
        <v>-1650</v>
      </c>
      <c r="E16" s="49">
        <f>D16-C16</f>
        <v/>
      </c>
      <c r="F16" s="50">
        <f>(D16-C16)/ABS(C16)</f>
        <v/>
      </c>
    </row>
    <row r="17" ht="18" customHeight="1">
      <c r="B17" s="21" t="inlineStr">
        <is>
          <t>Acquisitions (net)</t>
        </is>
      </c>
      <c r="C17" s="38" t="n">
        <v>-120</v>
      </c>
      <c r="D17" s="38" t="n">
        <v>-85</v>
      </c>
      <c r="E17" s="46">
        <f>D17-C17</f>
        <v/>
      </c>
      <c r="F17" s="47">
        <f>(D17-C17)/ABS(C17)</f>
        <v/>
      </c>
    </row>
    <row r="18" ht="18" customHeight="1">
      <c r="B18" s="54" t="inlineStr">
        <is>
          <t>Cash from Investing (CFI)</t>
        </is>
      </c>
      <c r="C18" s="55" t="n">
        <v>-2036</v>
      </c>
      <c r="D18" s="55" t="n">
        <v>-2267</v>
      </c>
      <c r="E18" s="63">
        <f>D18-C18</f>
        <v/>
      </c>
      <c r="F18" s="64">
        <f>(D18-C18)/ABS(C18)</f>
        <v/>
      </c>
    </row>
    <row r="19" ht="18" customHeight="1">
      <c r="B19" s="17" t="inlineStr">
        <is>
          <t xml:space="preserve">  C. FINANCING ACTIVITIES</t>
        </is>
      </c>
      <c r="C19" s="15" t="n"/>
      <c r="D19" s="15" t="n"/>
      <c r="E19" s="15" t="n"/>
      <c r="F19" s="2" t="n"/>
    </row>
    <row r="20" ht="18" customHeight="1">
      <c r="B20" s="25" t="inlineStr">
        <is>
          <t>Dividends Paid</t>
        </is>
      </c>
      <c r="C20" s="26" t="n">
        <v>-5200</v>
      </c>
      <c r="D20" s="26" t="n">
        <v>-4800</v>
      </c>
      <c r="E20" s="52">
        <f>D20-C20</f>
        <v/>
      </c>
      <c r="F20" s="53">
        <f>(D20-C20)/ABS(C20)</f>
        <v/>
      </c>
    </row>
    <row r="21" ht="18" customHeight="1">
      <c r="B21" s="21" t="inlineStr">
        <is>
          <t>Share Buybacks</t>
        </is>
      </c>
      <c r="C21" s="38" t="n">
        <v>0</v>
      </c>
      <c r="D21" s="38" t="n">
        <v>0</v>
      </c>
      <c r="E21" s="46">
        <f>D21-C21</f>
        <v/>
      </c>
      <c r="F21" s="47">
        <f>(D21-C21)/ABS(C21)</f>
        <v/>
      </c>
    </row>
    <row r="22" ht="18" customHeight="1">
      <c r="B22" s="25" t="inlineStr">
        <is>
          <t>Net Borrowings</t>
        </is>
      </c>
      <c r="C22" s="26" t="n">
        <v>0</v>
      </c>
      <c r="D22" s="26" t="n">
        <v>0</v>
      </c>
      <c r="E22" s="52">
        <f>D22-C22</f>
        <v/>
      </c>
      <c r="F22" s="53">
        <f>(D22-C22)/ABS(C22)</f>
        <v/>
      </c>
    </row>
    <row r="23" ht="18" customHeight="1">
      <c r="B23" s="54" t="inlineStr">
        <is>
          <t>Cash from Financing (CFF)</t>
        </is>
      </c>
      <c r="C23" s="55" t="n">
        <v>-5200</v>
      </c>
      <c r="D23" s="55" t="n">
        <v>-4800</v>
      </c>
      <c r="E23" s="56">
        <f>D23-C23</f>
        <v/>
      </c>
      <c r="F23" s="57">
        <f>(D23-C23)/ABS(C23)</f>
        <v/>
      </c>
    </row>
    <row r="24" ht="18" customHeight="1">
      <c r="B24" s="17" t="inlineStr">
        <is>
          <t xml:space="preserve">  D. FREE CASH FLOW</t>
        </is>
      </c>
      <c r="C24" s="15" t="n"/>
      <c r="D24" s="15" t="n"/>
      <c r="E24" s="15" t="n"/>
      <c r="F24" s="2" t="n"/>
    </row>
    <row r="25" ht="18" customHeight="1">
      <c r="B25" s="21" t="inlineStr">
        <is>
          <t>CFO</t>
        </is>
      </c>
      <c r="C25" s="38" t="n">
        <v>6253</v>
      </c>
      <c r="D25" s="38" t="n">
        <v>5866</v>
      </c>
      <c r="E25" s="61">
        <f>D25-C25</f>
        <v/>
      </c>
      <c r="F25" s="62">
        <f>(D25-C25)/ABS(C25)</f>
        <v/>
      </c>
    </row>
    <row r="26" ht="18" customHeight="1">
      <c r="B26" s="25" t="inlineStr">
        <is>
          <t>Less: Capex</t>
        </is>
      </c>
      <c r="C26" s="26" t="n">
        <v>-436</v>
      </c>
      <c r="D26" s="26" t="n">
        <v>-532</v>
      </c>
      <c r="E26" s="49">
        <f>D26-C26</f>
        <v/>
      </c>
      <c r="F26" s="50">
        <f>(D26-C26)/ABS(C26)</f>
        <v/>
      </c>
    </row>
    <row r="27" ht="18" customHeight="1">
      <c r="B27" s="18" t="inlineStr">
        <is>
          <t>FREE CASH FLOW (FCF)</t>
        </is>
      </c>
      <c r="C27" s="19" t="n">
        <v>5817</v>
      </c>
      <c r="D27" s="19" t="n">
        <v>5334</v>
      </c>
      <c r="E27" s="59">
        <f>D27-C27</f>
        <v/>
      </c>
      <c r="F27" s="60">
        <f>(D27-C27)/ABS(C27)</f>
        <v/>
      </c>
    </row>
    <row r="28" ht="18" customHeight="1">
      <c r="B28" s="25" t="inlineStr">
        <is>
          <t>FCF Margin (%)</t>
        </is>
      </c>
      <c r="C28" s="28" t="n">
        <v>0.2</v>
      </c>
      <c r="D28" s="28" t="n">
        <v>0.177</v>
      </c>
      <c r="E28" s="83" t="inlineStr">
        <is>
          <t>—</t>
        </is>
      </c>
      <c r="F28" s="83" t="inlineStr">
        <is>
          <t>—</t>
        </is>
      </c>
    </row>
    <row r="29" ht="18" customHeight="1">
      <c r="B29" s="21" t="inlineStr">
        <is>
          <t>FCF Yield (est. %)</t>
        </is>
      </c>
      <c r="C29" s="24" t="n">
        <v>0.041</v>
      </c>
      <c r="D29" s="24" t="n">
        <v>0.041</v>
      </c>
      <c r="E29" s="81" t="inlineStr">
        <is>
          <t>—</t>
        </is>
      </c>
      <c r="F29" s="81" t="inlineStr">
        <is>
          <t>—</t>
        </is>
      </c>
    </row>
    <row r="30" ht="18" customHeight="1">
      <c r="B30" s="25" t="inlineStr">
        <is>
          <t>FCF Conversion (FCF/PAT)</t>
        </is>
      </c>
      <c r="C30" s="28" t="n">
        <v>1.034</v>
      </c>
      <c r="D30" s="28" t="n">
        <v>0.929</v>
      </c>
      <c r="E30" s="83" t="inlineStr">
        <is>
          <t>—</t>
        </is>
      </c>
      <c r="F30" s="83" t="inlineStr">
        <is>
          <t>—</t>
        </is>
      </c>
    </row>
    <row r="31" ht="18" customHeight="1">
      <c r="B31" s="21" t="inlineStr">
        <is>
          <t>Net Change in Cash</t>
        </is>
      </c>
      <c r="C31" s="38" t="n">
        <v>-983</v>
      </c>
      <c r="D31" s="38" t="n">
        <v>-401</v>
      </c>
      <c r="E31" s="46">
        <f>D31-C31</f>
        <v/>
      </c>
      <c r="F31" s="47">
        <f>(D31-C31)/ABS(C31)</f>
        <v/>
      </c>
    </row>
    <row r="32" ht="18" customHeight="1">
      <c r="B32" s="18" t="inlineStr">
        <is>
          <t>Closing Cash Balance</t>
        </is>
      </c>
      <c r="C32" s="19" t="n">
        <v>1081</v>
      </c>
      <c r="D32" s="19" t="n">
        <v>976</v>
      </c>
      <c r="E32" s="59">
        <f>D32-C32</f>
        <v/>
      </c>
      <c r="F32" s="60">
        <f>(D32-C32)/ABS(C32)</f>
        <v/>
      </c>
    </row>
    <row r="34" ht="24" customHeight="1">
      <c r="B34" s="17" t="inlineStr">
        <is>
          <t xml:space="preserve">  WIPRO ENTERPRISES (P) LTD — CASH FLOW (INR Mn, Audited Ind AS)</t>
        </is>
      </c>
      <c r="C34" s="15" t="n"/>
      <c r="D34" s="15" t="n"/>
      <c r="E34" s="15" t="n"/>
      <c r="F34" s="2" t="n"/>
    </row>
    <row r="35" ht="28" customHeight="1">
      <c r="B35" s="16" t="inlineStr">
        <is>
          <t>Cash Flow Line</t>
        </is>
      </c>
      <c r="C35" s="16" t="inlineStr">
        <is>
          <t>FY24</t>
        </is>
      </c>
      <c r="D35" s="16" t="inlineStr">
        <is>
          <t>FY25</t>
        </is>
      </c>
      <c r="E35" s="16" t="inlineStr">
        <is>
          <t>YoY Δ</t>
        </is>
      </c>
      <c r="F35" s="16" t="inlineStr">
        <is>
          <t>YoY Δ %</t>
        </is>
      </c>
    </row>
    <row r="36" ht="18" customHeight="1">
      <c r="B36" s="17" t="inlineStr">
        <is>
          <t xml:space="preserve">  A. OPERATING ACTIVITIES</t>
        </is>
      </c>
      <c r="C36" s="15" t="n"/>
      <c r="D36" s="15" t="n"/>
      <c r="E36" s="15" t="n"/>
      <c r="F36" s="2" t="n"/>
    </row>
    <row r="37" ht="18" customHeight="1">
      <c r="B37" s="21" t="inlineStr">
        <is>
          <t>Profit Before Tax</t>
        </is>
      </c>
      <c r="C37" s="38" t="n">
        <v>16007</v>
      </c>
      <c r="D37" s="38" t="n">
        <v>13006</v>
      </c>
      <c r="E37" s="61">
        <f>D37-C37</f>
        <v/>
      </c>
      <c r="F37" s="62">
        <f>(D37-C37)/ABS(C37)</f>
        <v/>
      </c>
    </row>
    <row r="38" ht="18" customHeight="1">
      <c r="B38" s="25" t="inlineStr">
        <is>
          <t>Add: D&amp;A</t>
        </is>
      </c>
      <c r="C38" s="26" t="n">
        <v>1830</v>
      </c>
      <c r="D38" s="26" t="n">
        <v>1311</v>
      </c>
      <c r="E38" s="49">
        <f>D38-C38</f>
        <v/>
      </c>
      <c r="F38" s="50">
        <f>(D38-C38)/ABS(C38)</f>
        <v/>
      </c>
    </row>
    <row r="39" ht="18" customHeight="1">
      <c r="B39" s="21" t="inlineStr">
        <is>
          <t>Add: Interest on Borrowings</t>
        </is>
      </c>
      <c r="C39" s="38" t="n">
        <v>1478</v>
      </c>
      <c r="D39" s="38" t="n">
        <v>2223</v>
      </c>
      <c r="E39" s="46">
        <f>D39-C39</f>
        <v/>
      </c>
      <c r="F39" s="47">
        <f>(D39-C39)/ABS(C39)</f>
        <v/>
      </c>
    </row>
    <row r="40" ht="18" customHeight="1">
      <c r="B40" s="25" t="inlineStr">
        <is>
          <t>FV Change of Investment</t>
        </is>
      </c>
      <c r="C40" s="26" t="n">
        <v>-174</v>
      </c>
      <c r="D40" s="26" t="n">
        <v>710</v>
      </c>
      <c r="E40" s="52">
        <f>D40-C40</f>
        <v/>
      </c>
      <c r="F40" s="53">
        <f>(D40-C40)/ABS(C40)</f>
        <v/>
      </c>
    </row>
    <row r="41" ht="18" customHeight="1">
      <c r="B41" s="21" t="inlineStr">
        <is>
          <t>Dividend / Interest Income</t>
        </is>
      </c>
      <c r="C41" s="38" t="n">
        <v>-4008</v>
      </c>
      <c r="D41" s="38" t="n">
        <v>-4285</v>
      </c>
      <c r="E41" s="61">
        <f>D41-C41</f>
        <v/>
      </c>
      <c r="F41" s="62">
        <f>(D41-C41)/ABS(C41)</f>
        <v/>
      </c>
    </row>
    <row r="42" ht="18" customHeight="1">
      <c r="B42" s="25" t="inlineStr">
        <is>
          <t>Gain on Sale of Investments</t>
        </is>
      </c>
      <c r="C42" s="26" t="n">
        <v>-2729</v>
      </c>
      <c r="D42" s="26" t="n">
        <v>-3462</v>
      </c>
      <c r="E42" s="49">
        <f>D42-C42</f>
        <v/>
      </c>
      <c r="F42" s="50">
        <f>(D42-C42)/ABS(C42)</f>
        <v/>
      </c>
    </row>
    <row r="43" ht="18" customHeight="1">
      <c r="B43" s="21" t="inlineStr">
        <is>
          <t>Gain on Sale of Associates</t>
        </is>
      </c>
      <c r="C43" s="38" t="n">
        <v>-1392</v>
      </c>
      <c r="D43" s="38" t="n">
        <v>-1452</v>
      </c>
      <c r="E43" s="61">
        <f>D43-C43</f>
        <v/>
      </c>
      <c r="F43" s="62">
        <f>(D43-C43)/ABS(C43)</f>
        <v/>
      </c>
    </row>
    <row r="44" ht="18" customHeight="1">
      <c r="B44" s="25" t="inlineStr">
        <is>
          <t>Working Capital Changes</t>
        </is>
      </c>
      <c r="C44" s="26" t="n">
        <v>-1165</v>
      </c>
      <c r="D44" s="26" t="n">
        <v>-593</v>
      </c>
      <c r="E44" s="52">
        <f>D44-C44</f>
        <v/>
      </c>
      <c r="F44" s="53">
        <f>(D44-C44)/ABS(C44)</f>
        <v/>
      </c>
    </row>
    <row r="45" ht="18" customHeight="1">
      <c r="B45" s="21" t="inlineStr">
        <is>
          <t>Direct Taxes Paid (net)</t>
        </is>
      </c>
      <c r="C45" s="38" t="n">
        <v>-2887</v>
      </c>
      <c r="D45" s="38" t="n">
        <v>-2989</v>
      </c>
      <c r="E45" s="61">
        <f>D45-C45</f>
        <v/>
      </c>
      <c r="F45" s="62">
        <f>(D45-C45)/ABS(C45)</f>
        <v/>
      </c>
    </row>
    <row r="46" ht="18" customHeight="1">
      <c r="B46" s="18" t="inlineStr">
        <is>
          <t>Cash from Operations (CFO)</t>
        </is>
      </c>
      <c r="C46" s="19" t="n">
        <v>8621</v>
      </c>
      <c r="D46" s="19" t="n">
        <v>4558</v>
      </c>
      <c r="E46" s="59">
        <f>D46-C46</f>
        <v/>
      </c>
      <c r="F46" s="60">
        <f>(D46-C46)/ABS(C46)</f>
        <v/>
      </c>
    </row>
    <row r="47" ht="18" customHeight="1">
      <c r="B47" s="21" t="inlineStr">
        <is>
          <t>CFO / Revenue (%)</t>
        </is>
      </c>
      <c r="C47" s="24" t="n">
        <v>0.121</v>
      </c>
      <c r="D47" s="24" t="n">
        <v>0.063</v>
      </c>
      <c r="E47" s="81" t="inlineStr">
        <is>
          <t>—</t>
        </is>
      </c>
      <c r="F47" s="81" t="inlineStr">
        <is>
          <t>—</t>
        </is>
      </c>
    </row>
    <row r="48" ht="18" customHeight="1">
      <c r="B48" s="17" t="inlineStr">
        <is>
          <t xml:space="preserve">  B. INVESTING ACTIVITIES</t>
        </is>
      </c>
      <c r="C48" s="15" t="n"/>
      <c r="D48" s="15" t="n"/>
      <c r="E48" s="15" t="n"/>
      <c r="F48" s="2" t="n"/>
    </row>
    <row r="49" ht="18" customHeight="1">
      <c r="B49" s="21" t="inlineStr">
        <is>
          <t>Capex (PPE + Advances)</t>
        </is>
      </c>
      <c r="C49" s="38" t="n">
        <v>-861</v>
      </c>
      <c r="D49" s="38" t="n">
        <v>-1410</v>
      </c>
      <c r="E49" s="61">
        <f>D49-C49</f>
        <v/>
      </c>
      <c r="F49" s="62">
        <f>(D49-C49)/ABS(C49)</f>
        <v/>
      </c>
    </row>
    <row r="50" ht="18" customHeight="1">
      <c r="B50" s="25" t="inlineStr">
        <is>
          <t>Investment in Subs</t>
        </is>
      </c>
      <c r="C50" s="26" t="n">
        <v>0</v>
      </c>
      <c r="D50" s="26" t="n">
        <v>-2725</v>
      </c>
      <c r="E50" s="49">
        <f>D50-C50</f>
        <v/>
      </c>
      <c r="F50" s="83" t="inlineStr">
        <is>
          <t>NM</t>
        </is>
      </c>
    </row>
    <row r="51" ht="18" customHeight="1">
      <c r="B51" s="21" t="inlineStr">
        <is>
          <t>Loans to Subsidiaries (net)</t>
        </is>
      </c>
      <c r="C51" s="38" t="n">
        <v>-620</v>
      </c>
      <c r="D51" s="38" t="n">
        <v>-1279</v>
      </c>
      <c r="E51" s="61">
        <f>D51-C51</f>
        <v/>
      </c>
      <c r="F51" s="62">
        <f>(D51-C51)/ABS(C51)</f>
        <v/>
      </c>
    </row>
    <row r="52" ht="18" customHeight="1">
      <c r="B52" s="25" t="inlineStr">
        <is>
          <t>Purchase of Investments (net)</t>
        </is>
      </c>
      <c r="C52" s="26" t="n">
        <v>-2466</v>
      </c>
      <c r="D52" s="26" t="n">
        <v>-14978</v>
      </c>
      <c r="E52" s="49">
        <f>D52-C52</f>
        <v/>
      </c>
      <c r="F52" s="50">
        <f>(D52-C52)/ABS(C52)</f>
        <v/>
      </c>
    </row>
    <row r="53" ht="18" customHeight="1">
      <c r="B53" s="21" t="inlineStr">
        <is>
          <t>Interest Income Received</t>
        </is>
      </c>
      <c r="C53" s="38" t="n">
        <v>3235</v>
      </c>
      <c r="D53" s="38" t="n">
        <v>1587</v>
      </c>
      <c r="E53" s="61">
        <f>D53-C53</f>
        <v/>
      </c>
      <c r="F53" s="62">
        <f>(D53-C53)/ABS(C53)</f>
        <v/>
      </c>
    </row>
    <row r="54" ht="18" customHeight="1">
      <c r="B54" s="54" t="inlineStr">
        <is>
          <t>Cash from Investing (CFI)</t>
        </is>
      </c>
      <c r="C54" s="55" t="n">
        <v>-2609</v>
      </c>
      <c r="D54" s="55" t="n">
        <v>-17204</v>
      </c>
      <c r="E54" s="63">
        <f>D54-C54</f>
        <v/>
      </c>
      <c r="F54" s="64">
        <f>(D54-C54)/ABS(C54)</f>
        <v/>
      </c>
    </row>
    <row r="55" ht="18" customHeight="1">
      <c r="B55" s="17" t="inlineStr">
        <is>
          <t xml:space="preserve">  C. FINANCING ACTIVITIES</t>
        </is>
      </c>
      <c r="C55" s="15" t="n"/>
      <c r="D55" s="15" t="n"/>
      <c r="E55" s="15" t="n"/>
      <c r="F55" s="2" t="n"/>
    </row>
    <row r="56" ht="18" customHeight="1">
      <c r="B56" s="25" t="inlineStr">
        <is>
          <t>Proceeds from Borrowings</t>
        </is>
      </c>
      <c r="C56" s="26" t="n">
        <v>7481</v>
      </c>
      <c r="D56" s="26" t="n">
        <v>21342</v>
      </c>
      <c r="E56" s="52">
        <f>D56-C56</f>
        <v/>
      </c>
      <c r="F56" s="53">
        <f>(D56-C56)/ABS(C56)</f>
        <v/>
      </c>
    </row>
    <row r="57" ht="18" customHeight="1">
      <c r="B57" s="21" t="inlineStr">
        <is>
          <t>Repayment of Borrowings</t>
        </is>
      </c>
      <c r="C57" s="38" t="n">
        <v>-9317</v>
      </c>
      <c r="D57" s="38" t="n">
        <v>-6371</v>
      </c>
      <c r="E57" s="46">
        <f>D57-C57</f>
        <v/>
      </c>
      <c r="F57" s="47">
        <f>(D57-C57)/ABS(C57)</f>
        <v/>
      </c>
    </row>
    <row r="58" ht="18" customHeight="1">
      <c r="B58" s="25" t="inlineStr">
        <is>
          <t>Interest Paid</t>
        </is>
      </c>
      <c r="C58" s="26" t="n">
        <v>-1608</v>
      </c>
      <c r="D58" s="26" t="n">
        <v>-2256</v>
      </c>
      <c r="E58" s="49">
        <f>D58-C58</f>
        <v/>
      </c>
      <c r="F58" s="50">
        <f>(D58-C58)/ABS(C58)</f>
        <v/>
      </c>
    </row>
    <row r="59" ht="18" customHeight="1">
      <c r="B59" s="21" t="inlineStr">
        <is>
          <t>Lease Repayments</t>
        </is>
      </c>
      <c r="C59" s="38" t="n">
        <v>-123</v>
      </c>
      <c r="D59" s="38" t="n">
        <v>-93</v>
      </c>
      <c r="E59" s="46">
        <f>D59-C59</f>
        <v/>
      </c>
      <c r="F59" s="47">
        <f>(D59-C59)/ABS(C59)</f>
        <v/>
      </c>
    </row>
    <row r="60" ht="18" customHeight="1">
      <c r="B60" s="25" t="inlineStr">
        <is>
          <t>Share Capital Reduction</t>
        </is>
      </c>
      <c r="C60" s="26" t="n">
        <v>0</v>
      </c>
      <c r="D60" s="26" t="n">
        <v>-7</v>
      </c>
      <c r="E60" s="49">
        <f>D60-C60</f>
        <v/>
      </c>
      <c r="F60" s="83" t="inlineStr">
        <is>
          <t>NM</t>
        </is>
      </c>
    </row>
    <row r="61" ht="18" customHeight="1">
      <c r="B61" s="54" t="inlineStr">
        <is>
          <t>Cash from Financing (CFF)</t>
        </is>
      </c>
      <c r="C61" s="55" t="n">
        <v>-4300</v>
      </c>
      <c r="D61" s="55" t="n">
        <v>12615</v>
      </c>
      <c r="E61" s="56">
        <f>D61-C61</f>
        <v/>
      </c>
      <c r="F61" s="57">
        <f>(D61-C61)/ABS(C61)</f>
        <v/>
      </c>
    </row>
    <row r="62" ht="18" customHeight="1">
      <c r="B62" s="17" t="inlineStr">
        <is>
          <t xml:space="preserve">  D. FREE CASH FLOW</t>
        </is>
      </c>
      <c r="C62" s="15" t="n"/>
      <c r="D62" s="15" t="n"/>
      <c r="E62" s="15" t="n"/>
      <c r="F62" s="2" t="n"/>
    </row>
    <row r="63" ht="18" customHeight="1">
      <c r="B63" s="21" t="inlineStr">
        <is>
          <t>CFO</t>
        </is>
      </c>
      <c r="C63" s="38" t="n">
        <v>8621</v>
      </c>
      <c r="D63" s="38" t="n">
        <v>4558</v>
      </c>
      <c r="E63" s="61">
        <f>D63-C63</f>
        <v/>
      </c>
      <c r="F63" s="62">
        <f>(D63-C63)/ABS(C63)</f>
        <v/>
      </c>
    </row>
    <row r="64" ht="18" customHeight="1">
      <c r="B64" s="25" t="inlineStr">
        <is>
          <t>Less: Capex</t>
        </is>
      </c>
      <c r="C64" s="26" t="n">
        <v>-861</v>
      </c>
      <c r="D64" s="26" t="n">
        <v>-1410</v>
      </c>
      <c r="E64" s="49">
        <f>D64-C64</f>
        <v/>
      </c>
      <c r="F64" s="50">
        <f>(D64-C64)/ABS(C64)</f>
        <v/>
      </c>
    </row>
    <row r="65" ht="18" customHeight="1">
      <c r="B65" s="18" t="inlineStr">
        <is>
          <t>FREE CASH FLOW (FCF)</t>
        </is>
      </c>
      <c r="C65" s="19" t="n">
        <v>7760</v>
      </c>
      <c r="D65" s="19" t="n">
        <v>3148</v>
      </c>
      <c r="E65" s="59">
        <f>D65-C65</f>
        <v/>
      </c>
      <c r="F65" s="60">
        <f>(D65-C65)/ABS(C65)</f>
        <v/>
      </c>
    </row>
    <row r="66" ht="18" customHeight="1">
      <c r="B66" s="25" t="inlineStr">
        <is>
          <t>FCF Margin (%)</t>
        </is>
      </c>
      <c r="C66" s="28" t="n">
        <v>0.109</v>
      </c>
      <c r="D66" s="28" t="n">
        <v>0.044</v>
      </c>
      <c r="E66" s="83" t="inlineStr">
        <is>
          <t>—</t>
        </is>
      </c>
      <c r="F66" s="83" t="inlineStr">
        <is>
          <t>—</t>
        </is>
      </c>
    </row>
    <row r="67" ht="18" customHeight="1">
      <c r="B67" s="54" t="inlineStr">
        <is>
          <t>Net Change in Cash</t>
        </is>
      </c>
      <c r="C67" s="55" t="n">
        <v>1712</v>
      </c>
      <c r="D67" s="55" t="n">
        <v>-31</v>
      </c>
      <c r="E67" s="63">
        <f>D67-C67</f>
        <v/>
      </c>
      <c r="F67" s="64">
        <f>(D67-C67)/ABS(C67)</f>
        <v/>
      </c>
    </row>
    <row r="68" ht="18" customHeight="1">
      <c r="B68" s="18" t="inlineStr">
        <is>
          <t>Closing Cash Balance</t>
        </is>
      </c>
      <c r="C68" s="19" t="n">
        <v>3309</v>
      </c>
      <c r="D68" s="19" t="n">
        <v>3278</v>
      </c>
      <c r="E68" s="59">
        <f>D68-C68</f>
        <v/>
      </c>
      <c r="F68" s="60">
        <f>(D68-C68)/ABS(C68)</f>
        <v/>
      </c>
    </row>
  </sheetData>
  <mergeCells count="11">
    <mergeCell ref="B4:F4"/>
    <mergeCell ref="B55:F55"/>
    <mergeCell ref="B6:F6"/>
    <mergeCell ref="B24:F24"/>
    <mergeCell ref="B2:F2"/>
    <mergeCell ref="B34:F34"/>
    <mergeCell ref="B48:F48"/>
    <mergeCell ref="B62:F62"/>
    <mergeCell ref="B19:F19"/>
    <mergeCell ref="B36:F36"/>
    <mergeCell ref="B14:F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" customWidth="1" min="9" max="9"/>
  </cols>
  <sheetData>
    <row r="2" ht="44" customHeight="1">
      <c r="B2" s="14" t="inlineStr">
        <is>
          <t xml:space="preserve">  VALUATION ANALYSIS  |  FY 2024–2025</t>
        </is>
      </c>
      <c r="C2" s="15" t="n"/>
      <c r="D2" s="15" t="n"/>
      <c r="E2" s="15" t="n"/>
      <c r="F2" s="15" t="n"/>
      <c r="G2" s="15" t="n"/>
      <c r="H2" s="2" t="n"/>
    </row>
    <row r="3" ht="8" customHeight="1"/>
    <row r="4" ht="24" customHeight="1">
      <c r="B4" s="17" t="inlineStr">
        <is>
          <t xml:space="preserve">  TRADING MULTIPLES — INDIA IT PEERS  (Apr-2025 estimated market data)</t>
        </is>
      </c>
      <c r="C4" s="15" t="n"/>
      <c r="D4" s="15" t="n"/>
      <c r="E4" s="15" t="n"/>
      <c r="F4" s="15" t="n"/>
      <c r="G4" s="15" t="n"/>
      <c r="H4" s="2" t="n"/>
    </row>
    <row r="5" ht="30" customHeight="1">
      <c r="B5" s="16" t="inlineStr">
        <is>
          <t>Company</t>
        </is>
      </c>
      <c r="C5" s="16" t="inlineStr">
        <is>
          <t>Rev
(USD Bn)</t>
        </is>
      </c>
      <c r="D5" s="16" t="inlineStr">
        <is>
          <t>EV/Rev</t>
        </is>
      </c>
      <c r="E5" s="16" t="inlineStr">
        <is>
          <t>EV/EBITDA</t>
        </is>
      </c>
      <c r="F5" s="16" t="inlineStr">
        <is>
          <t>EV/EBIT</t>
        </is>
      </c>
      <c r="G5" s="16" t="inlineStr">
        <is>
          <t>P/E</t>
        </is>
      </c>
      <c r="H5" s="16" t="inlineStr">
        <is>
          <t>P/BV</t>
        </is>
      </c>
    </row>
    <row r="6" ht="20" customHeight="1">
      <c r="B6" s="84" t="inlineStr">
        <is>
          <t>TCS (FY25)</t>
        </is>
      </c>
      <c r="C6" s="85" t="n">
        <v>30.2</v>
      </c>
      <c r="D6" s="86" t="n">
        <v>4.24</v>
      </c>
      <c r="E6" s="86" t="n">
        <v>16.1</v>
      </c>
      <c r="F6" s="86" t="n">
        <v>17.4</v>
      </c>
      <c r="G6" s="86" t="n">
        <v>22.8</v>
      </c>
      <c r="H6" s="86" t="n">
        <v>13.8</v>
      </c>
    </row>
    <row r="7" ht="20" customHeight="1">
      <c r="B7" s="54" t="inlineStr">
        <is>
          <t>Wipro Ltd (FY25)</t>
        </is>
      </c>
      <c r="C7" s="87" t="n">
        <v>10.6</v>
      </c>
      <c r="D7" s="88" t="n">
        <v>2.86</v>
      </c>
      <c r="E7" s="88" t="n">
        <v>13.7</v>
      </c>
      <c r="F7" s="88" t="n">
        <v>16.3</v>
      </c>
      <c r="G7" s="88" t="n">
        <v>20.5</v>
      </c>
      <c r="H7" s="88" t="n">
        <v>3.9</v>
      </c>
    </row>
    <row r="8" ht="20" customHeight="1">
      <c r="B8" s="21" t="inlineStr">
        <is>
          <t>Infosys (FY25 est.)</t>
        </is>
      </c>
      <c r="C8" s="89" t="n">
        <v>18.6</v>
      </c>
      <c r="D8" s="90" t="n">
        <v>4.1</v>
      </c>
      <c r="E8" s="90" t="n">
        <v>15.8</v>
      </c>
      <c r="F8" s="90" t="n">
        <v>18.9</v>
      </c>
      <c r="G8" s="90" t="n">
        <v>24.3</v>
      </c>
      <c r="H8" s="90" t="n">
        <v>9.199999999999999</v>
      </c>
    </row>
    <row r="9" ht="20" customHeight="1">
      <c r="B9" s="25" t="inlineStr">
        <is>
          <t>HCL Tech (FY25 est.)</t>
        </is>
      </c>
      <c r="C9" s="91" t="n">
        <v>13.8</v>
      </c>
      <c r="D9" s="92" t="n">
        <v>3.5</v>
      </c>
      <c r="E9" s="92" t="n">
        <v>14.2</v>
      </c>
      <c r="F9" s="92" t="n">
        <v>18.6</v>
      </c>
      <c r="G9" s="92" t="n">
        <v>22.1</v>
      </c>
      <c r="H9" s="92" t="n">
        <v>7.8</v>
      </c>
    </row>
    <row r="10" ht="20" customHeight="1">
      <c r="B10" s="21" t="inlineStr">
        <is>
          <t>Tech Mahindra (FY25)</t>
        </is>
      </c>
      <c r="C10" s="89" t="n">
        <v>6.1</v>
      </c>
      <c r="D10" s="90" t="n">
        <v>2.05</v>
      </c>
      <c r="E10" s="90" t="n">
        <v>12.3</v>
      </c>
      <c r="F10" s="90" t="n">
        <v>16.4</v>
      </c>
      <c r="G10" s="90" t="n">
        <v>28.7</v>
      </c>
      <c r="H10" s="90" t="n">
        <v>4.5</v>
      </c>
    </row>
    <row r="11" ht="20" customHeight="1">
      <c r="B11" s="25" t="inlineStr">
        <is>
          <t>LTIMindtree (FY25)</t>
        </is>
      </c>
      <c r="C11" s="91" t="n">
        <v>4.7</v>
      </c>
      <c r="D11" s="92" t="n">
        <v>3.9</v>
      </c>
      <c r="E11" s="92" t="n">
        <v>17.1</v>
      </c>
      <c r="F11" s="92" t="n">
        <v>22.5</v>
      </c>
      <c r="G11" s="92" t="n">
        <v>25.4</v>
      </c>
      <c r="H11" s="92" t="n">
        <v>8.4</v>
      </c>
    </row>
    <row r="12" ht="20" customHeight="1">
      <c r="B12" s="54" t="inlineStr">
        <is>
          <t>Sector Median</t>
        </is>
      </c>
      <c r="C12" s="87">
        <f>MEDIAN(C6:C11)</f>
        <v/>
      </c>
      <c r="D12" s="88">
        <f>MEDIAN(D6:D11)</f>
        <v/>
      </c>
      <c r="E12" s="88">
        <f>MEDIAN(E6:E11)</f>
        <v/>
      </c>
      <c r="F12" s="88">
        <f>MEDIAN(F6:F11)</f>
        <v/>
      </c>
      <c r="G12" s="88">
        <f>MEDIAN(G6:G11)</f>
        <v/>
      </c>
      <c r="H12" s="88">
        <f>MEDIAN(H6:H11)</f>
        <v/>
      </c>
    </row>
    <row r="13" ht="20" customHeight="1">
      <c r="B13" s="18" t="inlineStr">
        <is>
          <t>TCS Premium / (Discount) vs Median</t>
        </is>
      </c>
      <c r="C13" s="93">
        <f>C6-C12</f>
        <v/>
      </c>
      <c r="D13" s="94">
        <f>D6-D12</f>
        <v/>
      </c>
      <c r="E13" s="94">
        <f>E6-E12</f>
        <v/>
      </c>
      <c r="F13" s="94">
        <f>F6-F12</f>
        <v/>
      </c>
      <c r="G13" s="94">
        <f>G6-G12</f>
        <v/>
      </c>
      <c r="H13" s="94">
        <f>H6-H12</f>
        <v/>
      </c>
    </row>
    <row r="15" ht="24" customHeight="1">
      <c r="B15" s="17" t="inlineStr">
        <is>
          <t xml:space="preserve">  EV/EBITDA SENSITIVITY — TCS FY25  (Implied Share Price INR)</t>
        </is>
      </c>
      <c r="C15" s="15" t="n"/>
      <c r="D15" s="15" t="n"/>
      <c r="E15" s="15" t="n"/>
      <c r="F15" s="15" t="n"/>
      <c r="G15" s="15" t="n"/>
      <c r="H15" s="2" t="n"/>
    </row>
    <row r="16" ht="28" customHeight="1">
      <c r="B16" s="95" t="inlineStr">
        <is>
          <t>EBITDA Scenario →</t>
        </is>
      </c>
      <c r="C16" s="96" t="n">
        <v>14</v>
      </c>
      <c r="D16" s="96" t="n">
        <v>15</v>
      </c>
      <c r="E16" s="96" t="n">
        <v>16</v>
      </c>
      <c r="F16" s="96" t="n">
        <v>17</v>
      </c>
      <c r="G16" s="96" t="n">
        <v>18</v>
      </c>
      <c r="H16" s="96" t="n">
        <v>19</v>
      </c>
    </row>
    <row r="17" ht="20" customHeight="1">
      <c r="B17" s="97" t="inlineStr">
        <is>
          <t>Bear  (EBITDA = $7.4 Bn)</t>
        </is>
      </c>
      <c r="C17" s="98" t="n">
        <v>2552</v>
      </c>
      <c r="D17" s="98" t="n">
        <v>2725</v>
      </c>
      <c r="E17" s="99" t="n">
        <v>2898</v>
      </c>
      <c r="F17" s="98" t="n">
        <v>3071</v>
      </c>
      <c r="G17" s="98" t="n">
        <v>3244</v>
      </c>
      <c r="H17" s="98" t="n">
        <v>3417</v>
      </c>
    </row>
    <row r="18" ht="20" customHeight="1">
      <c r="B18" s="54" t="inlineStr">
        <is>
          <t>Base  (EBITDA = $8.0 Bn)</t>
        </is>
      </c>
      <c r="C18" s="100" t="n">
        <v>2737</v>
      </c>
      <c r="D18" s="100" t="n">
        <v>2924</v>
      </c>
      <c r="E18" s="99" t="n">
        <v>3110</v>
      </c>
      <c r="F18" s="100" t="n">
        <v>3296</v>
      </c>
      <c r="G18" s="100" t="n">
        <v>3483</v>
      </c>
      <c r="H18" s="100" t="n">
        <v>3669</v>
      </c>
    </row>
    <row r="19" ht="20" customHeight="1">
      <c r="B19" s="101" t="inlineStr">
        <is>
          <t>Bull  (EBITDA = $8.6 Bn)</t>
        </is>
      </c>
      <c r="C19" s="102" t="n">
        <v>2945</v>
      </c>
      <c r="D19" s="102" t="n">
        <v>3146</v>
      </c>
      <c r="E19" s="99" t="n">
        <v>3347</v>
      </c>
      <c r="F19" s="102" t="n">
        <v>3548</v>
      </c>
      <c r="G19" s="102" t="n">
        <v>3749</v>
      </c>
      <c r="H19" s="102" t="n">
        <v>3950</v>
      </c>
    </row>
    <row r="21" ht="24" customHeight="1">
      <c r="B21" s="17" t="inlineStr">
        <is>
          <t xml:space="preserve">  DCF KEY ASSUMPTIONS — TCS  (Illustrative Base Case)</t>
        </is>
      </c>
      <c r="C21" s="15" t="n"/>
      <c r="D21" s="15" t="n"/>
      <c r="E21" s="15" t="n"/>
      <c r="F21" s="15" t="n"/>
      <c r="G21" s="15" t="n"/>
      <c r="H21" s="2" t="n"/>
    </row>
    <row r="22" ht="28" customHeight="1">
      <c r="B22" s="16" t="inlineStr">
        <is>
          <t>Parameter</t>
        </is>
      </c>
      <c r="C22" s="16" t="inlineStr">
        <is>
          <t>FY26E</t>
        </is>
      </c>
      <c r="D22" s="16" t="inlineStr">
        <is>
          <t>FY27E</t>
        </is>
      </c>
      <c r="E22" s="16" t="inlineStr">
        <is>
          <t>FY28E</t>
        </is>
      </c>
      <c r="F22" s="16" t="inlineStr">
        <is>
          <t>Terminal
Value</t>
        </is>
      </c>
      <c r="G22" s="16" t="inlineStr">
        <is>
          <t>Basis</t>
        </is>
      </c>
    </row>
    <row r="23" ht="18" customHeight="1">
      <c r="B23" s="25" t="inlineStr">
        <is>
          <t>Revenue Growth (%)</t>
        </is>
      </c>
      <c r="C23" s="28" t="n">
        <v>0.04</v>
      </c>
      <c r="D23" s="28" t="n">
        <v>0.07000000000000001</v>
      </c>
      <c r="E23" s="28" t="n">
        <v>0.09</v>
      </c>
      <c r="F23" s="83" t="inlineStr">
        <is>
          <t>—</t>
        </is>
      </c>
      <c r="H23" s="51" t="inlineStr">
        <is>
          <t>Gradual recovery; AI-uplift from FY27</t>
        </is>
      </c>
    </row>
    <row r="24" ht="18" customHeight="1">
      <c r="B24" s="21" t="inlineStr">
        <is>
          <t>EBIT Margin (%)</t>
        </is>
      </c>
      <c r="C24" s="24" t="n">
        <v>0.246</v>
      </c>
      <c r="D24" s="24" t="n">
        <v>0.249</v>
      </c>
      <c r="E24" s="24" t="n">
        <v>0.253</v>
      </c>
      <c r="F24" s="81" t="inlineStr">
        <is>
          <t>—</t>
        </is>
      </c>
      <c r="H24" s="48" t="inlineStr">
        <is>
          <t>Stable; operating leverage</t>
        </is>
      </c>
    </row>
    <row r="25" ht="18" customHeight="1">
      <c r="B25" s="25" t="inlineStr">
        <is>
          <t>Tax Rate (%)</t>
        </is>
      </c>
      <c r="C25" s="28" t="n">
        <v>0.253</v>
      </c>
      <c r="D25" s="28" t="n">
        <v>0.253</v>
      </c>
      <c r="E25" s="28" t="n">
        <v>0.253</v>
      </c>
      <c r="F25" s="83" t="inlineStr">
        <is>
          <t>—</t>
        </is>
      </c>
      <c r="H25" s="51" t="inlineStr">
        <is>
          <t>25.3% effective rate</t>
        </is>
      </c>
    </row>
    <row r="26" ht="18" customHeight="1">
      <c r="B26" s="21" t="inlineStr">
        <is>
          <t>D&amp;A (USD Mn)</t>
        </is>
      </c>
      <c r="C26" s="31" t="n">
        <v>490</v>
      </c>
      <c r="D26" s="31" t="n">
        <v>510</v>
      </c>
      <c r="E26" s="31" t="n">
        <v>530</v>
      </c>
      <c r="F26" s="81" t="inlineStr">
        <is>
          <t>—</t>
        </is>
      </c>
      <c r="H26" s="48" t="inlineStr">
        <is>
          <t>Capex + ROU growth</t>
        </is>
      </c>
    </row>
    <row r="27" ht="18" customHeight="1">
      <c r="B27" s="25" t="inlineStr">
        <is>
          <t>Capex (USD Mn)</t>
        </is>
      </c>
      <c r="C27" s="33" t="n">
        <v>-540</v>
      </c>
      <c r="D27" s="33" t="n">
        <v>-560</v>
      </c>
      <c r="E27" s="33" t="n">
        <v>-580</v>
      </c>
      <c r="F27" s="83" t="inlineStr">
        <is>
          <t>—</t>
        </is>
      </c>
      <c r="H27" s="51" t="inlineStr">
        <is>
          <t>Asset-light IT services model</t>
        </is>
      </c>
    </row>
    <row r="28" ht="18" customHeight="1">
      <c r="B28" s="21" t="inlineStr">
        <is>
          <t>WACC (%)</t>
        </is>
      </c>
      <c r="C28" s="81" t="inlineStr">
        <is>
          <t>—</t>
        </is>
      </c>
      <c r="D28" s="81" t="inlineStr">
        <is>
          <t>—</t>
        </is>
      </c>
      <c r="E28" s="81" t="inlineStr">
        <is>
          <t>—</t>
        </is>
      </c>
      <c r="F28" s="24" t="n">
        <v>0.1</v>
      </c>
      <c r="H28" s="48" t="inlineStr">
        <is>
          <t>Cost of equity ~10.5%; zero debt</t>
        </is>
      </c>
    </row>
    <row r="29" ht="18" customHeight="1">
      <c r="B29" s="25" t="inlineStr">
        <is>
          <t>Terminal Growth (%)</t>
        </is>
      </c>
      <c r="C29" s="83" t="inlineStr">
        <is>
          <t>—</t>
        </is>
      </c>
      <c r="D29" s="83" t="inlineStr">
        <is>
          <t>—</t>
        </is>
      </c>
      <c r="E29" s="83" t="inlineStr">
        <is>
          <t>—</t>
        </is>
      </c>
      <c r="F29" s="28" t="n">
        <v>0.04</v>
      </c>
      <c r="H29" s="51" t="inlineStr">
        <is>
          <t>Long-run nominal GDP growth</t>
        </is>
      </c>
    </row>
    <row r="30" ht="18" customHeight="1">
      <c r="B30" s="18" t="inlineStr">
        <is>
          <t>Implied EV (USD Bn)</t>
        </is>
      </c>
      <c r="C30" s="103" t="inlineStr">
        <is>
          <t>—</t>
        </is>
      </c>
      <c r="D30" s="103" t="inlineStr">
        <is>
          <t>—</t>
        </is>
      </c>
      <c r="E30" s="103" t="inlineStr">
        <is>
          <t>—</t>
        </is>
      </c>
      <c r="F30" s="40" t="n">
        <v>118.5</v>
      </c>
      <c r="H30" s="45" t="inlineStr">
        <is>
          <t>Base case DCF range: $110–128 Bn</t>
        </is>
      </c>
    </row>
    <row r="31" ht="18" customHeight="1">
      <c r="B31" s="18" t="inlineStr">
        <is>
          <t>Implied Price (INR)</t>
        </is>
      </c>
      <c r="C31" s="103" t="inlineStr">
        <is>
          <t>—</t>
        </is>
      </c>
      <c r="D31" s="103" t="inlineStr">
        <is>
          <t>—</t>
        </is>
      </c>
      <c r="E31" s="103" t="inlineStr">
        <is>
          <t>—</t>
        </is>
      </c>
      <c r="F31" s="19" t="n">
        <v>3100</v>
      </c>
      <c r="H31" s="45" t="inlineStr">
        <is>
          <t>Range: ₹2,750–₹3,700 depending on WACC</t>
        </is>
      </c>
    </row>
  </sheetData>
  <mergeCells count="4">
    <mergeCell ref="B4:H4"/>
    <mergeCell ref="B21:H21"/>
    <mergeCell ref="B2:H2"/>
    <mergeCell ref="B15:H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  <col width="14" customWidth="1" min="4" max="4"/>
    <col width="14" customWidth="1" min="5" max="5"/>
    <col width="22" customWidth="1" min="6" max="6"/>
    <col width="2" customWidth="1" min="7" max="7"/>
  </cols>
  <sheetData>
    <row r="2" ht="44" customHeight="1">
      <c r="B2" s="14" t="inlineStr">
        <is>
          <t xml:space="preserve">  OPERATIONAL KEY PERFORMANCE INDICATORS  |  FY 2024–2025</t>
        </is>
      </c>
      <c r="C2" s="15" t="n"/>
      <c r="D2" s="15" t="n"/>
      <c r="E2" s="15" t="n"/>
      <c r="F2" s="2" t="n"/>
    </row>
    <row r="3" ht="8" customHeight="1"/>
    <row r="4" ht="24" customHeight="1">
      <c r="B4" s="17" t="inlineStr">
        <is>
          <t xml:space="preserve">  TCS — WORKFORCE METRICS</t>
        </is>
      </c>
      <c r="C4" s="15" t="n"/>
      <c r="D4" s="2" t="n"/>
    </row>
    <row r="5" ht="28" customHeight="1">
      <c r="B5" s="16" t="inlineStr">
        <is>
          <t>FY24</t>
        </is>
      </c>
      <c r="C5" s="16" t="inlineStr">
        <is>
          <t>FY25</t>
        </is>
      </c>
      <c r="D5" s="16" t="inlineStr">
        <is>
          <t>Commentary</t>
        </is>
      </c>
    </row>
    <row r="6" ht="18" customHeight="1">
      <c r="B6" s="18" t="inlineStr">
        <is>
          <t>Total Headcount</t>
        </is>
      </c>
      <c r="C6" s="19" t="n">
        <v>601546</v>
      </c>
      <c r="D6" s="19" t="n">
        <v>607979</v>
      </c>
      <c r="E6" s="104" t="n">
        <v>6433</v>
      </c>
      <c r="F6" s="74" t="inlineStr">
        <is>
          <t>Net +6,433 YoY; resumption of hiring</t>
        </is>
      </c>
    </row>
    <row r="7" ht="18" customHeight="1">
      <c r="B7" s="21" t="inlineStr">
        <is>
          <t>IT Attrition (LTM %)</t>
        </is>
      </c>
      <c r="C7" s="24" t="n">
        <v>0.125</v>
      </c>
      <c r="D7" s="24" t="n">
        <v>0.133</v>
      </c>
      <c r="E7" s="105" t="n">
        <v>0.008000000000000007</v>
      </c>
      <c r="F7" s="76" t="inlineStr">
        <is>
          <t>Slight uptick; normalising post-COVID lows</t>
        </is>
      </c>
    </row>
    <row r="8" ht="18" customHeight="1">
      <c r="B8" s="25" t="inlineStr">
        <is>
          <t>Net Headcount Addition</t>
        </is>
      </c>
      <c r="C8" s="26" t="n">
        <v>-13249</v>
      </c>
      <c r="D8" s="26" t="n">
        <v>6433</v>
      </c>
      <c r="E8" s="106" t="n">
        <v>19682</v>
      </c>
      <c r="F8" s="77" t="inlineStr">
        <is>
          <t>Turnaround from prior year net exits</t>
        </is>
      </c>
    </row>
    <row r="9" ht="18" customHeight="1">
      <c r="B9" s="21" t="inlineStr">
        <is>
          <t>% Women Associates</t>
        </is>
      </c>
      <c r="C9" s="24" t="n">
        <v>0.356</v>
      </c>
      <c r="D9" s="24" t="n">
        <v>0.352</v>
      </c>
      <c r="E9" s="105" t="n">
        <v>-0.004000000000000004</v>
      </c>
      <c r="F9" s="76" t="inlineStr">
        <is>
          <t>Broadly stable; ~35% diversity</t>
        </is>
      </c>
    </row>
    <row r="10" ht="18" customHeight="1">
      <c r="B10" s="25" t="inlineStr">
        <is>
          <t>Nationalities Represented</t>
        </is>
      </c>
      <c r="C10" s="26" t="n">
        <v>152</v>
      </c>
      <c r="D10" s="26" t="n">
        <v>152</v>
      </c>
      <c r="E10" s="106" t="n">
        <v>0</v>
      </c>
      <c r="F10" s="77" t="inlineStr">
        <is>
          <t>Truly global workforce</t>
        </is>
      </c>
    </row>
    <row r="11" ht="18" customHeight="1">
      <c r="B11" s="18" t="inlineStr">
        <is>
          <t>Revenue / Employee (USD K)</t>
        </is>
      </c>
      <c r="C11" s="40" t="n">
        <v>48.3</v>
      </c>
      <c r="D11" s="40" t="n">
        <v>49.6</v>
      </c>
      <c r="E11" s="104" t="n">
        <v>1.300000000000004</v>
      </c>
      <c r="F11" s="74" t="inlineStr">
        <is>
          <t>Productivity improvement; AI tools aiding</t>
        </is>
      </c>
    </row>
    <row r="13" ht="24" customHeight="1">
      <c r="B13" s="17" t="inlineStr">
        <is>
          <t xml:space="preserve">  TCS — CLIENT METRICS</t>
        </is>
      </c>
      <c r="C13" s="15" t="n"/>
      <c r="D13" s="2" t="n"/>
    </row>
    <row r="14" ht="28" customHeight="1">
      <c r="B14" s="16" t="inlineStr">
        <is>
          <t>FY24</t>
        </is>
      </c>
      <c r="C14" s="16" t="inlineStr">
        <is>
          <t>FY25</t>
        </is>
      </c>
      <c r="D14" s="16" t="inlineStr">
        <is>
          <t>Commentary</t>
        </is>
      </c>
    </row>
    <row r="15" ht="18" customHeight="1">
      <c r="B15" s="18" t="inlineStr">
        <is>
          <t>$1 Mn+ Clients</t>
        </is>
      </c>
      <c r="C15" s="19" t="n">
        <v>1294</v>
      </c>
      <c r="D15" s="19" t="n">
        <v>1332</v>
      </c>
      <c r="E15" s="104" t="n">
        <v>38</v>
      </c>
      <c r="F15" s="74" t="inlineStr">
        <is>
          <t>Wallet expansion; +38 net new</t>
        </is>
      </c>
    </row>
    <row r="16" ht="18" customHeight="1">
      <c r="B16" s="21" t="inlineStr">
        <is>
          <t>$5 Mn+ Clients</t>
        </is>
      </c>
      <c r="C16" s="38" t="n">
        <v>693</v>
      </c>
      <c r="D16" s="38" t="n">
        <v>723</v>
      </c>
      <c r="E16" s="106" t="n">
        <v>30</v>
      </c>
      <c r="F16" s="76" t="inlineStr">
        <is>
          <t>+30 net new</t>
        </is>
      </c>
    </row>
    <row r="17" ht="18" customHeight="1">
      <c r="B17" s="25" t="inlineStr">
        <is>
          <t>$10 Mn+ Clients</t>
        </is>
      </c>
      <c r="C17" s="26" t="n">
        <v>487</v>
      </c>
      <c r="D17" s="26" t="n">
        <v>493</v>
      </c>
      <c r="E17" s="106" t="n">
        <v>6</v>
      </c>
      <c r="F17" s="77" t="inlineStr">
        <is>
          <t>Stable large client base</t>
        </is>
      </c>
    </row>
    <row r="18" ht="18" customHeight="1">
      <c r="B18" s="21" t="inlineStr">
        <is>
          <t>$20 Mn+ Clients</t>
        </is>
      </c>
      <c r="C18" s="38" t="n">
        <v>301</v>
      </c>
      <c r="D18" s="38" t="n">
        <v>298</v>
      </c>
      <c r="E18" s="107" t="n">
        <v>-3</v>
      </c>
      <c r="F18" s="76" t="inlineStr">
        <is>
          <t>Marginal decline</t>
        </is>
      </c>
    </row>
    <row r="19" ht="18" customHeight="1">
      <c r="B19" s="25" t="inlineStr">
        <is>
          <t>$50 Mn+ Clients</t>
        </is>
      </c>
      <c r="C19" s="26" t="n">
        <v>139</v>
      </c>
      <c r="D19" s="26" t="n">
        <v>130</v>
      </c>
      <c r="E19" s="107" t="n">
        <v>-9</v>
      </c>
      <c r="F19" s="77" t="inlineStr">
        <is>
          <t>Some consolidation / repricing</t>
        </is>
      </c>
    </row>
    <row r="20" ht="18" customHeight="1">
      <c r="B20" s="18" t="inlineStr">
        <is>
          <t>$100 Mn+ Clients</t>
        </is>
      </c>
      <c r="C20" s="19" t="n">
        <v>62</v>
      </c>
      <c r="D20" s="19" t="n">
        <v>64</v>
      </c>
      <c r="E20" s="104" t="n">
        <v>2</v>
      </c>
      <c r="F20" s="74" t="inlineStr">
        <is>
          <t>Record high; deep strategic relationships</t>
        </is>
      </c>
    </row>
    <row r="21" ht="18" customHeight="1">
      <c r="B21" s="25" t="inlineStr">
        <is>
          <t>Deal TCV (USD Bn, est.)</t>
        </is>
      </c>
      <c r="C21" s="33" t="n">
        <v>42.4</v>
      </c>
      <c r="D21" s="33" t="n">
        <v>38.4</v>
      </c>
      <c r="E21" s="107" t="n">
        <v>-4</v>
      </c>
      <c r="F21" s="77" t="inlineStr">
        <is>
          <t>Strong but below FY24 peak</t>
        </is>
      </c>
    </row>
    <row r="22" ht="18" customHeight="1">
      <c r="B22" s="18" t="inlineStr">
        <is>
          <t>AI Revenue Mix (est. %)</t>
        </is>
      </c>
      <c r="C22" s="29" t="n">
        <v>0.38</v>
      </c>
      <c r="D22" s="29" t="n">
        <v>0.43</v>
      </c>
      <c r="E22" s="108" t="n">
        <v>0.04999999999999999</v>
      </c>
      <c r="F22" s="74" t="inlineStr">
        <is>
          <t>Growing AI/GenAI share</t>
        </is>
      </c>
    </row>
    <row r="24" ht="24" customHeight="1">
      <c r="B24" s="17" t="inlineStr">
        <is>
          <t xml:space="preserve">  WIPRO LIMITED IT SERVICES — WORKFORCE METRICS  (est.)</t>
        </is>
      </c>
      <c r="C24" s="15" t="n"/>
      <c r="D24" s="2" t="n"/>
    </row>
    <row r="25" ht="28" customHeight="1">
      <c r="B25" s="16" t="inlineStr">
        <is>
          <t>FY24</t>
        </is>
      </c>
      <c r="C25" s="16" t="inlineStr">
        <is>
          <t>FY25</t>
        </is>
      </c>
      <c r="D25" s="16" t="inlineStr">
        <is>
          <t>Commentary</t>
        </is>
      </c>
    </row>
    <row r="26" ht="18" customHeight="1">
      <c r="B26" s="18" t="inlineStr">
        <is>
          <t>Total Headcount (IT Svc.)</t>
        </is>
      </c>
      <c r="C26" s="19" t="n">
        <v>234000</v>
      </c>
      <c r="D26" s="19" t="n">
        <v>234509</v>
      </c>
      <c r="E26" s="104" t="n">
        <v>509</v>
      </c>
      <c r="F26" s="74" t="inlineStr">
        <is>
          <t>Broadly flat; rightsizing complete</t>
        </is>
      </c>
    </row>
    <row r="27" ht="18" customHeight="1">
      <c r="B27" s="21" t="inlineStr">
        <is>
          <t>IT Attrition (LTM %)</t>
        </is>
      </c>
      <c r="C27" s="24" t="n">
        <v>0.148</v>
      </c>
      <c r="D27" s="24" t="n">
        <v>0.145</v>
      </c>
      <c r="E27" s="105" t="n">
        <v>-0.003000000000000003</v>
      </c>
      <c r="F27" s="76" t="inlineStr">
        <is>
          <t>Stabilised at lower level</t>
        </is>
      </c>
    </row>
    <row r="28" ht="18" customHeight="1">
      <c r="B28" s="25" t="inlineStr">
        <is>
          <t>Revenue / Employee (USD K)</t>
        </is>
      </c>
      <c r="C28" s="33" t="n">
        <v>49.6</v>
      </c>
      <c r="D28" s="33" t="n">
        <v>45.1</v>
      </c>
      <c r="E28" s="107" t="n">
        <v>-4.5</v>
      </c>
      <c r="F28" s="77" t="inlineStr">
        <is>
          <t>Decline reflects revenue contraction</t>
        </is>
      </c>
    </row>
    <row r="29" ht="18" customHeight="1">
      <c r="B29" s="21" t="inlineStr">
        <is>
          <t>% Women (est.)</t>
        </is>
      </c>
      <c r="C29" s="24" t="n">
        <v>0.33</v>
      </c>
      <c r="D29" s="24" t="n">
        <v>0.33</v>
      </c>
      <c r="E29" s="109" t="n">
        <v>0</v>
      </c>
      <c r="F29" s="76" t="inlineStr">
        <is>
          <t>Stable</t>
        </is>
      </c>
    </row>
    <row r="30" ht="18" customHeight="1">
      <c r="B30" s="25" t="inlineStr">
        <is>
          <t>$100 Mn+ Clients (est.)</t>
        </is>
      </c>
      <c r="C30" s="26" t="n">
        <v>59</v>
      </c>
      <c r="D30" s="26" t="n">
        <v>61</v>
      </c>
      <c r="E30" s="106" t="n">
        <v>2</v>
      </c>
      <c r="F30" s="77" t="inlineStr">
        <is>
          <t>Gradual improvement</t>
        </is>
      </c>
    </row>
    <row r="31" ht="18" customHeight="1">
      <c r="B31" s="18" t="inlineStr">
        <is>
          <t>Deal TCV (USD Bn, est.)</t>
        </is>
      </c>
      <c r="C31" s="40" t="n">
        <v>31.8</v>
      </c>
      <c r="D31" s="40" t="n">
        <v>33.2</v>
      </c>
      <c r="E31" s="104" t="n">
        <v>1.400000000000002</v>
      </c>
      <c r="F31" s="74" t="inlineStr">
        <is>
          <t>Improving deal wins</t>
        </is>
      </c>
    </row>
    <row r="32" ht="18" customHeight="1">
      <c r="B32" s="18" t="inlineStr">
        <is>
          <t>AI Revenue Mix (est. %)</t>
        </is>
      </c>
      <c r="C32" s="29" t="n">
        <v>0.22</v>
      </c>
      <c r="D32" s="29" t="n">
        <v>0.29</v>
      </c>
      <c r="E32" s="108" t="n">
        <v>0.06999999999999998</v>
      </c>
      <c r="F32" s="74" t="inlineStr">
        <is>
          <t>Accelerating AI/cloud mix</t>
        </is>
      </c>
    </row>
  </sheetData>
  <mergeCells count="4">
    <mergeCell ref="B2:F2"/>
    <mergeCell ref="B13:D13"/>
    <mergeCell ref="B24:D24"/>
    <mergeCell ref="B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" customWidth="1" min="9" max="9"/>
  </cols>
  <sheetData>
    <row r="2" ht="44" customHeight="1">
      <c r="B2" s="14" t="inlineStr">
        <is>
          <t xml:space="preserve">  PEER BENCHMARK  |  India IT Services  FY 2025 (est.)</t>
        </is>
      </c>
      <c r="C2" s="15" t="n"/>
      <c r="D2" s="15" t="n"/>
      <c r="E2" s="15" t="n"/>
      <c r="F2" s="15" t="n"/>
      <c r="G2" s="15" t="n"/>
      <c r="H2" s="2" t="n"/>
    </row>
    <row r="3" ht="8" customHeight="1"/>
    <row r="4" ht="24" customHeight="1">
      <c r="B4" s="17" t="inlineStr">
        <is>
          <t xml:space="preserve">  COMPARATIVE ANALYSIS — TCS  |  WIPRO  |  INFOSYS  |  HCL  |  TECH MAHINDRA  |  LTIMindtree</t>
        </is>
      </c>
      <c r="C4" s="15" t="n"/>
      <c r="D4" s="15" t="n"/>
      <c r="E4" s="15" t="n"/>
      <c r="F4" s="15" t="n"/>
      <c r="G4" s="15" t="n"/>
      <c r="H4" s="2" t="n"/>
    </row>
    <row r="5" ht="30" customHeight="1">
      <c r="B5" s="16" t="inlineStr">
        <is>
          <t>Metric</t>
        </is>
      </c>
      <c r="C5" s="16" t="inlineStr">
        <is>
          <t>TCS</t>
        </is>
      </c>
      <c r="D5" s="16" t="inlineStr">
        <is>
          <t>Wipro Ltd</t>
        </is>
      </c>
      <c r="E5" s="16" t="inlineStr">
        <is>
          <t>Infosys</t>
        </is>
      </c>
      <c r="F5" s="16" t="inlineStr">
        <is>
          <t>HCL Tech</t>
        </is>
      </c>
      <c r="G5" s="16" t="inlineStr">
        <is>
          <t>Tech Mah.</t>
        </is>
      </c>
      <c r="H5" s="16" t="inlineStr">
        <is>
          <t>LTI-Mind.</t>
        </is>
      </c>
    </row>
    <row r="6" ht="20" customHeight="1">
      <c r="B6" s="110" t="inlineStr">
        <is>
          <t xml:space="preserve">  SCALE</t>
        </is>
      </c>
      <c r="C6" s="15" t="n"/>
      <c r="D6" s="15" t="n"/>
      <c r="E6" s="15" t="n"/>
      <c r="F6" s="15" t="n"/>
      <c r="G6" s="15" t="n"/>
      <c r="H6" s="2" t="n"/>
    </row>
    <row r="7" ht="18" customHeight="1">
      <c r="B7" s="25" t="inlineStr">
        <is>
          <t>Revenue (USD Bn)</t>
        </is>
      </c>
      <c r="C7" s="111" t="n">
        <v>30.2</v>
      </c>
      <c r="D7" s="33" t="n">
        <v>10.6</v>
      </c>
      <c r="E7" s="33" t="n">
        <v>18.6</v>
      </c>
      <c r="F7" s="33" t="n">
        <v>13.8</v>
      </c>
      <c r="G7" s="33" t="n">
        <v>6.1</v>
      </c>
      <c r="H7" s="33" t="n">
        <v>4.7</v>
      </c>
    </row>
    <row r="8" ht="18" customHeight="1">
      <c r="B8" s="21" t="inlineStr">
        <is>
          <t>Rev YoY Growth (%)</t>
        </is>
      </c>
      <c r="C8" s="24" t="n">
        <v>0.037</v>
      </c>
      <c r="D8" s="24" t="n">
        <v>-0.08699999999999999</v>
      </c>
      <c r="E8" s="24" t="n">
        <v>0.046</v>
      </c>
      <c r="F8" s="24" t="n">
        <v>0.052</v>
      </c>
      <c r="G8" s="24" t="n">
        <v>0.002</v>
      </c>
      <c r="H8" s="108" t="n">
        <v>0.062</v>
      </c>
    </row>
    <row r="9" ht="18" customHeight="1">
      <c r="B9" s="25" t="inlineStr">
        <is>
          <t>Headcount (000s)</t>
        </is>
      </c>
      <c r="C9" s="112" t="n">
        <v>608</v>
      </c>
      <c r="D9" s="26" t="n">
        <v>235</v>
      </c>
      <c r="E9" s="26" t="n">
        <v>317</v>
      </c>
      <c r="F9" s="26" t="n">
        <v>218</v>
      </c>
      <c r="G9" s="26" t="n">
        <v>153</v>
      </c>
      <c r="H9" s="26" t="n">
        <v>90</v>
      </c>
    </row>
    <row r="10" ht="18" customHeight="1">
      <c r="B10" s="18" t="inlineStr">
        <is>
          <t>Rev/Employee (USD K)</t>
        </is>
      </c>
      <c r="C10" s="40" t="n">
        <v>49.6</v>
      </c>
      <c r="D10" s="40" t="n">
        <v>45.1</v>
      </c>
      <c r="E10" s="40" t="n">
        <v>58.7</v>
      </c>
      <c r="F10" s="111" t="n">
        <v>63.3</v>
      </c>
      <c r="G10" s="40" t="n">
        <v>39.9</v>
      </c>
      <c r="H10" s="40" t="n">
        <v>52.2</v>
      </c>
    </row>
    <row r="11" ht="20" customHeight="1">
      <c r="B11" s="110" t="inlineStr">
        <is>
          <t xml:space="preserve">  PROFITABILITY</t>
        </is>
      </c>
      <c r="C11" s="15" t="n"/>
      <c r="D11" s="15" t="n"/>
      <c r="E11" s="15" t="n"/>
      <c r="F11" s="15" t="n"/>
      <c r="G11" s="15" t="n"/>
      <c r="H11" s="2" t="n"/>
    </row>
    <row r="12" ht="18" customHeight="1">
      <c r="B12" s="18" t="inlineStr">
        <is>
          <t>EBIT Margin (%)</t>
        </is>
      </c>
      <c r="C12" s="108" t="n">
        <v>0.244</v>
      </c>
      <c r="D12" s="29" t="n">
        <v>0.175</v>
      </c>
      <c r="E12" s="29" t="n">
        <v>0.213</v>
      </c>
      <c r="F12" s="29" t="n">
        <v>0.188</v>
      </c>
      <c r="G12" s="29" t="n">
        <v>0.076</v>
      </c>
      <c r="H12" s="29" t="n">
        <v>0.155</v>
      </c>
    </row>
    <row r="13" ht="18" customHeight="1">
      <c r="B13" s="21" t="inlineStr">
        <is>
          <t>EBITDA Margin (%)</t>
        </is>
      </c>
      <c r="C13" s="108" t="n">
        <v>0.264</v>
      </c>
      <c r="D13" s="24" t="n">
        <v>0.208</v>
      </c>
      <c r="E13" s="24" t="n">
        <v>0.231</v>
      </c>
      <c r="F13" s="24" t="n">
        <v>0.212</v>
      </c>
      <c r="G13" s="24" t="n">
        <v>0.112</v>
      </c>
      <c r="H13" s="24" t="n">
        <v>0.175</v>
      </c>
    </row>
    <row r="14" ht="18" customHeight="1">
      <c r="B14" s="25" t="inlineStr">
        <is>
          <t>Net Profit Margin (%)</t>
        </is>
      </c>
      <c r="C14" s="108" t="n">
        <v>0.191</v>
      </c>
      <c r="D14" s="28" t="n">
        <v>0.148</v>
      </c>
      <c r="E14" s="28" t="n">
        <v>0.175</v>
      </c>
      <c r="F14" s="28" t="n">
        <v>0.153</v>
      </c>
      <c r="G14" s="28" t="n">
        <v>0.058</v>
      </c>
      <c r="H14" s="28" t="n">
        <v>0.128</v>
      </c>
    </row>
    <row r="15" ht="18" customHeight="1">
      <c r="B15" s="21" t="inlineStr">
        <is>
          <t>Effective Tax Rate (%)</t>
        </is>
      </c>
      <c r="C15" s="24" t="n">
        <v>0.253</v>
      </c>
      <c r="D15" s="24" t="n">
        <v>0.26</v>
      </c>
      <c r="E15" s="24" t="n">
        <v>0.26</v>
      </c>
      <c r="F15" s="108" t="n">
        <v>0.25</v>
      </c>
      <c r="G15" s="24" t="n">
        <v>0.27</v>
      </c>
      <c r="H15" s="24" t="n">
        <v>0.255</v>
      </c>
    </row>
    <row r="16" ht="20" customHeight="1">
      <c r="B16" s="110" t="inlineStr">
        <is>
          <t xml:space="preserve">  EFFICIENCY</t>
        </is>
      </c>
      <c r="C16" s="15" t="n"/>
      <c r="D16" s="15" t="n"/>
      <c r="E16" s="15" t="n"/>
      <c r="F16" s="15" t="n"/>
      <c r="G16" s="15" t="n"/>
      <c r="H16" s="2" t="n"/>
    </row>
    <row r="17" ht="18" customHeight="1">
      <c r="B17" s="25" t="inlineStr">
        <is>
          <t>IT Attrition (LTM %)</t>
        </is>
      </c>
      <c r="C17" s="28" t="n">
        <v>0.133</v>
      </c>
      <c r="D17" s="28" t="n">
        <v>0.145</v>
      </c>
      <c r="E17" s="28" t="n">
        <v>0.136</v>
      </c>
      <c r="F17" s="108" t="n">
        <v>0.122</v>
      </c>
      <c r="G17" s="28" t="n">
        <v>0.151</v>
      </c>
      <c r="H17" s="28" t="n">
        <v>0.138</v>
      </c>
    </row>
    <row r="18" ht="18" customHeight="1">
      <c r="B18" s="18" t="inlineStr">
        <is>
          <t>Return on Equity (%)</t>
        </is>
      </c>
      <c r="C18" s="108" t="n">
        <v>0.501</v>
      </c>
      <c r="D18" s="29" t="n">
        <v>0.13</v>
      </c>
      <c r="E18" s="29" t="n">
        <v>0.337</v>
      </c>
      <c r="F18" s="29" t="n">
        <v>0.291</v>
      </c>
      <c r="G18" s="29" t="n">
        <v>0.063</v>
      </c>
      <c r="H18" s="29" t="n">
        <v>0.208</v>
      </c>
    </row>
    <row r="19" ht="18" customHeight="1">
      <c r="B19" s="25" t="inlineStr">
        <is>
          <t>Return on Assets (%)</t>
        </is>
      </c>
      <c r="C19" s="108" t="n">
        <v>0.304</v>
      </c>
      <c r="D19" s="28" t="n">
        <v>0.11</v>
      </c>
      <c r="E19" s="28" t="n">
        <v>0.268</v>
      </c>
      <c r="F19" s="28" t="n">
        <v>0.21</v>
      </c>
      <c r="G19" s="28" t="n">
        <v>0.055</v>
      </c>
      <c r="H19" s="28" t="n">
        <v>0.185</v>
      </c>
    </row>
    <row r="20" ht="18" customHeight="1">
      <c r="B20" s="21" t="inlineStr">
        <is>
          <t>Asset Turnover</t>
        </is>
      </c>
      <c r="C20" s="111" t="n">
        <v>1.59</v>
      </c>
      <c r="D20" s="31" t="n">
        <v>0.68</v>
      </c>
      <c r="E20" s="31" t="n">
        <v>1.28</v>
      </c>
      <c r="F20" s="31" t="n">
        <v>1.31</v>
      </c>
      <c r="G20" s="31" t="n">
        <v>1.22</v>
      </c>
      <c r="H20" s="31" t="n">
        <v>1.45</v>
      </c>
    </row>
    <row r="21" ht="20" customHeight="1">
      <c r="B21" s="110" t="inlineStr">
        <is>
          <t xml:space="preserve">  BALANCE SHEET</t>
        </is>
      </c>
      <c r="C21" s="15" t="n"/>
      <c r="D21" s="15" t="n"/>
      <c r="E21" s="15" t="n"/>
      <c r="F21" s="15" t="n"/>
      <c r="G21" s="15" t="n"/>
      <c r="H21" s="2" t="n"/>
    </row>
    <row r="22" ht="18" customHeight="1">
      <c r="B22" s="18" t="inlineStr">
        <is>
          <t>Net Cash (USD Bn)</t>
        </is>
      </c>
      <c r="C22" s="111" t="n">
        <v>5.5</v>
      </c>
      <c r="D22" s="40" t="n">
        <v>0.5</v>
      </c>
      <c r="E22" s="40" t="n">
        <v>3.5</v>
      </c>
      <c r="F22" s="40" t="n">
        <v>2.8</v>
      </c>
      <c r="G22" s="40" t="n">
        <v>0.8</v>
      </c>
      <c r="H22" s="40" t="n">
        <v>1.2</v>
      </c>
    </row>
    <row r="23" ht="18" customHeight="1">
      <c r="B23" s="21" t="inlineStr">
        <is>
          <t>Debt / Equity</t>
        </is>
      </c>
      <c r="C23" s="111" t="n">
        <v>0</v>
      </c>
      <c r="D23" s="31" t="n">
        <v>0.04</v>
      </c>
      <c r="E23" s="31" t="n">
        <v>0.02</v>
      </c>
      <c r="F23" s="31" t="n">
        <v>0.04</v>
      </c>
      <c r="G23" s="31" t="n">
        <v>0.08</v>
      </c>
      <c r="H23" s="111" t="n">
        <v>0</v>
      </c>
    </row>
    <row r="24" ht="18" customHeight="1">
      <c r="B24" s="25" t="inlineStr">
        <is>
          <t>FCF Yield (%)</t>
        </is>
      </c>
      <c r="C24" s="108" t="n">
        <v>0.041</v>
      </c>
      <c r="D24" s="28" t="n">
        <v>0.022</v>
      </c>
      <c r="E24" s="28" t="n">
        <v>0.035</v>
      </c>
      <c r="F24" s="28" t="n">
        <v>0.031</v>
      </c>
      <c r="G24" s="28" t="n">
        <v>0.018</v>
      </c>
      <c r="H24" s="28" t="n">
        <v>0.028</v>
      </c>
    </row>
    <row r="25" ht="20" customHeight="1">
      <c r="B25" s="110" t="inlineStr">
        <is>
          <t xml:space="preserve">  VALUATION (Apr-2025 est.)</t>
        </is>
      </c>
      <c r="C25" s="15" t="n"/>
      <c r="D25" s="15" t="n"/>
      <c r="E25" s="15" t="n"/>
      <c r="F25" s="15" t="n"/>
      <c r="G25" s="15" t="n"/>
      <c r="H25" s="2" t="n"/>
    </row>
    <row r="26" ht="18" customHeight="1">
      <c r="B26" s="25" t="inlineStr">
        <is>
          <t>Mkt Cap (USD Bn)</t>
        </is>
      </c>
      <c r="C26" s="111" t="n">
        <v>130.7</v>
      </c>
      <c r="D26" s="33" t="n">
        <v>32.1</v>
      </c>
      <c r="E26" s="33" t="n">
        <v>78.2</v>
      </c>
      <c r="F26" s="33" t="n">
        <v>54.3</v>
      </c>
      <c r="G26" s="33" t="n">
        <v>14.6</v>
      </c>
      <c r="H26" s="33" t="n">
        <v>21.2</v>
      </c>
    </row>
    <row r="27" ht="18" customHeight="1">
      <c r="B27" s="21" t="inlineStr">
        <is>
          <t>EV / Revenue</t>
        </is>
      </c>
      <c r="C27" s="113" t="n">
        <v>4.24</v>
      </c>
      <c r="D27" s="34" t="n">
        <v>2.86</v>
      </c>
      <c r="E27" s="34" t="n">
        <v>4.1</v>
      </c>
      <c r="F27" s="34" t="n">
        <v>3.5</v>
      </c>
      <c r="G27" s="34" t="n">
        <v>2.05</v>
      </c>
      <c r="H27" s="34" t="n">
        <v>3.9</v>
      </c>
    </row>
    <row r="28" ht="18" customHeight="1">
      <c r="B28" s="18" t="inlineStr">
        <is>
          <t>EV / EBITDA</t>
        </is>
      </c>
      <c r="C28" s="36" t="n">
        <v>16.1</v>
      </c>
      <c r="D28" s="36" t="n">
        <v>13.7</v>
      </c>
      <c r="E28" s="36" t="n">
        <v>15.8</v>
      </c>
      <c r="F28" s="36" t="n">
        <v>14.2</v>
      </c>
      <c r="G28" s="36" t="n">
        <v>12.3</v>
      </c>
      <c r="H28" s="113" t="n">
        <v>17.1</v>
      </c>
    </row>
    <row r="29" ht="18" customHeight="1">
      <c r="B29" s="21" t="inlineStr">
        <is>
          <t>P / E</t>
        </is>
      </c>
      <c r="C29" s="34" t="n">
        <v>22.8</v>
      </c>
      <c r="D29" s="34" t="n">
        <v>20.5</v>
      </c>
      <c r="E29" s="34" t="n">
        <v>24.3</v>
      </c>
      <c r="F29" s="34" t="n">
        <v>22.1</v>
      </c>
      <c r="G29" s="113" t="n">
        <v>28.7</v>
      </c>
      <c r="H29" s="34" t="n">
        <v>25.4</v>
      </c>
    </row>
    <row r="30" ht="18" customHeight="1">
      <c r="B30" s="25" t="inlineStr">
        <is>
          <t>Dividend Yield (%)</t>
        </is>
      </c>
      <c r="C30" s="28" t="n">
        <v>0.026</v>
      </c>
      <c r="D30" s="28" t="n">
        <v>0.01</v>
      </c>
      <c r="E30" s="28" t="n">
        <v>0.028</v>
      </c>
      <c r="F30" s="108" t="n">
        <v>0.034</v>
      </c>
      <c r="G30" s="28" t="n">
        <v>0.019</v>
      </c>
      <c r="H30" s="28" t="n">
        <v>0.014</v>
      </c>
    </row>
    <row r="32" ht="30" customHeight="1">
      <c r="B32" s="42" t="inlineStr">
        <is>
          <t>Notes: Green shading = best-in-class for each metric. Wipro Ltd figures are IT Services estimates. TCS data from official IFRS Data Sheet. All other company data from public quarterly results &amp; consensus. FY = April–March. Valuation market prices estimated ~Apr-2025.</t>
        </is>
      </c>
    </row>
  </sheetData>
  <mergeCells count="8">
    <mergeCell ref="B32:H32"/>
    <mergeCell ref="B4:H4"/>
    <mergeCell ref="B21:H21"/>
    <mergeCell ref="B6:H6"/>
    <mergeCell ref="B16:H16"/>
    <mergeCell ref="B2:H2"/>
    <mergeCell ref="B25:H25"/>
    <mergeCell ref="B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2026-05-05T06:05:39Z</dcterms:created>
  <dcterms:modified xmlns:dcterms="http://purl.org/dc/terms/" xmlns:xsi="http://www.w3.org/2001/XMLSchema-instance" xsi:type="dcterms:W3CDTF">2026-05-05T06:05:39Z</dcterms:modified>
</cp:coreProperties>
</file>